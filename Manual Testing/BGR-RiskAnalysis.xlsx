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Dashboard" sheetId="1" r:id="rId5"/>
    <sheet state="visible" name="Overview" sheetId="2" r:id="rId6"/>
    <sheet state="visible" name="F01-Authentication" sheetId="3" r:id="rId7"/>
    <sheet state="visible" name="F02-Registration" sheetId="4" r:id="rId8"/>
    <sheet state="visible" name="F03-CarBrowsing&amp;Navigation" sheetId="5" r:id="rId9"/>
    <sheet state="visible" name="F04-Voting&amp;Comments" sheetId="6" r:id="rId10"/>
    <sheet state="visible" name="F05-ProfileManagement" sheetId="7" r:id="rId11"/>
    <sheet state="visible" name="F06-PasswordManagement" sheetId="8" r:id="rId12"/>
    <sheet state="visible" name="F07-RankingManagement" sheetId="9" r:id="rId13"/>
    <sheet state="visible" name="F08-LogOut" sheetId="10" r:id="rId14"/>
    <sheet state="visible" name="Master Risks" sheetId="11" r:id="rId15"/>
  </sheets>
  <definedNames/>
  <calcPr/>
</workbook>
</file>

<file path=xl/sharedStrings.xml><?xml version="1.0" encoding="utf-8"?>
<sst xmlns="http://schemas.openxmlformats.org/spreadsheetml/2006/main" count="862" uniqueCount="238">
  <si>
    <t>Feature ID</t>
  </si>
  <si>
    <t>Risk ID</t>
  </si>
  <si>
    <t>Risk Assessment Criteria</t>
  </si>
  <si>
    <t>Feature</t>
  </si>
  <si>
    <t>Relevant Pages</t>
  </si>
  <si>
    <t>Risk / What Could Go Wrong</t>
  </si>
  <si>
    <t>Rationale</t>
  </si>
  <si>
    <t>Level</t>
  </si>
  <si>
    <t>Likelihood</t>
  </si>
  <si>
    <t>Priority</t>
  </si>
  <si>
    <t>Impact</t>
  </si>
  <si>
    <t>AUTH-R01</t>
  </si>
  <si>
    <t>F-01</t>
  </si>
  <si>
    <t>REG-R01</t>
  </si>
  <si>
    <t>User may be unable to enter credentials into the Login or Password fields</t>
  </si>
  <si>
    <t>Authentication</t>
  </si>
  <si>
    <t>Required name fields may accept missing or invalid values</t>
  </si>
  <si>
    <t>Prevents the user from attempting authentication</t>
  </si>
  <si>
    <t>Home Page [P-01], Popular Make Page [P-02], Car Voting Page [P-03], Registration Page [P-05], Overall Rating Page [P-06]</t>
  </si>
  <si>
    <t>Low</t>
  </si>
  <si>
    <t>Could allow incomplete or invalid user accounts to be created</t>
  </si>
  <si>
    <t>High</t>
  </si>
  <si>
    <t>Medium</t>
  </si>
  <si>
    <t>F-02</t>
  </si>
  <si>
    <t>Registration</t>
  </si>
  <si>
    <t>AUTH-R02</t>
  </si>
  <si>
    <t>Login button may not initiate authentication when clicked</t>
  </si>
  <si>
    <t>Registration Page [P-05]</t>
  </si>
  <si>
    <t>Prevents the user from submitting credentials</t>
  </si>
  <si>
    <t>REG-R02</t>
  </si>
  <si>
    <t>F-03</t>
  </si>
  <si>
    <t>AUTH-R03</t>
  </si>
  <si>
    <t>Car Browsing &amp; Navigation</t>
  </si>
  <si>
    <t>Name fields may incorrectly reject valid values</t>
  </si>
  <si>
    <t>Invalid credential combinations may successfully authenticate the user</t>
  </si>
  <si>
    <t>Home Page [P-01], Popular Make Page [P-02], Car Voting Page [P-03], Overall Rating Page [P-06]</t>
  </si>
  <si>
    <t>Could prevent legitimate users from registering</t>
  </si>
  <si>
    <t>Could allow unauthorized access</t>
  </si>
  <si>
    <t>Unknown</t>
  </si>
  <si>
    <t>F-04</t>
  </si>
  <si>
    <t>Voting &amp; Comments</t>
  </si>
  <si>
    <t>Critical</t>
  </si>
  <si>
    <t>Car Voting Page [P-03]</t>
  </si>
  <si>
    <t>AUTH-R04</t>
  </si>
  <si>
    <t>REG-R03</t>
  </si>
  <si>
    <t>F-05</t>
  </si>
  <si>
    <t>Valid credentials may fail to authenticate the user</t>
  </si>
  <si>
    <t>Profile Management</t>
  </si>
  <si>
    <t>Prevents legitimate users from accessing authenticated functionality</t>
  </si>
  <si>
    <t>Profile Page [P-04]</t>
  </si>
  <si>
    <t>Registration may incorrectly handle duplicate user-identifying values</t>
  </si>
  <si>
    <t>F-06</t>
  </si>
  <si>
    <t>Could create conflicting accounts or incorrectly prevent legitimate registration</t>
  </si>
  <si>
    <t>Password Management</t>
  </si>
  <si>
    <t>F-07</t>
  </si>
  <si>
    <t>Ranking / Rating Display</t>
  </si>
  <si>
    <t>Home Page [P-01], Popular Make Page [P-02], Overall Rating Page [P-06]</t>
  </si>
  <si>
    <t>REG-R04</t>
  </si>
  <si>
    <t>F-08</t>
  </si>
  <si>
    <t>AUTH-R05</t>
  </si>
  <si>
    <t>LogOut</t>
  </si>
  <si>
    <t>Failed authentication may display incorrect, unclear, or no failure message</t>
  </si>
  <si>
    <t>Login/email field may accept invalidly formatted values</t>
  </si>
  <si>
    <t>User may not understand that authentication failed or why</t>
  </si>
  <si>
    <t>Home Page [P-01], Popular Make Page [P-02], Car Voting Page [P-03], Profile Page [P-04], Registration Page [P-05], Overall Rating Page [P-06]</t>
  </si>
  <si>
    <t>Could create accounts with unusable or invalid identifiers</t>
  </si>
  <si>
    <t>AUTH-R06</t>
  </si>
  <si>
    <t>Successful authentication may result in an incorrect page/application state</t>
  </si>
  <si>
    <t>User may be authenticated but remain in an inappropriate state or page</t>
  </si>
  <si>
    <t>REG-R05</t>
  </si>
  <si>
    <t>Valid login/email values may be incorrectly rejected</t>
  </si>
  <si>
    <t>REG-R06</t>
  </si>
  <si>
    <t>Password may accept values that do not satisfy required password rules</t>
  </si>
  <si>
    <t>Could create accounts with passwords that violate the application's intended validation rules</t>
  </si>
  <si>
    <t>REG-R07</t>
  </si>
  <si>
    <t>Valid passwords may be incorrectly rejected</t>
  </si>
  <si>
    <t>Could prevent legitimate account creation</t>
  </si>
  <si>
    <t>REG-R08</t>
  </si>
  <si>
    <t>Password and Confirm Password may not be validated against each other</t>
  </si>
  <si>
    <t>Could create an account with an unintended password or produce inconsistent registration behaviour</t>
  </si>
  <si>
    <t>REG-R09</t>
  </si>
  <si>
    <t>Registration inputs may not safely handle unexpected or malicious input</t>
  </si>
  <si>
    <t>Unexpected input could cause incorrect behaviour, errors, or unsafe processing</t>
  </si>
  <si>
    <t>All</t>
  </si>
  <si>
    <t>REG-R10</t>
  </si>
  <si>
    <t>Invalid registration attempts may display missing, incorrect, or unclear validation/status messages</t>
  </si>
  <si>
    <t>Users may not understand which input is invalid or how to correct it</t>
  </si>
  <si>
    <t>Unlikely based on available evidence</t>
  </si>
  <si>
    <t>Minor inconvenience</t>
  </si>
  <si>
    <t>REG-R11</t>
  </si>
  <si>
    <t>Can be tested later</t>
  </si>
  <si>
    <t>Valid registration details may fail to create an account</t>
  </si>
  <si>
    <t>Prevents legitimate users from registering</t>
  </si>
  <si>
    <t>REG-R12</t>
  </si>
  <si>
    <t>Registration submission may fail to initiate when the Register button is used</t>
  </si>
  <si>
    <t>Prevents users from completing registration</t>
  </si>
  <si>
    <t>ALL</t>
  </si>
  <si>
    <t>Plausible but not observed</t>
  </si>
  <si>
    <t>Disrupts functionality</t>
  </si>
  <si>
    <t>Test after critical workflows</t>
  </si>
  <si>
    <t>Already observed or supported by strong evidence</t>
  </si>
  <si>
    <t>Prevents core functionality</t>
  </si>
  <si>
    <t>Test early</t>
  </si>
  <si>
    <t>-</t>
  </si>
  <si>
    <t>Security breach or major data exposure</t>
  </si>
  <si>
    <t>Test immediately</t>
  </si>
  <si>
    <t>Insufficient evidence</t>
  </si>
  <si>
    <t>BROWSE-R01</t>
  </si>
  <si>
    <t>Car model name and displayed image may not correspond to the same car</t>
  </si>
  <si>
    <t>Users may be shown misleading or incorrect vehicle information</t>
  </si>
  <si>
    <t>BROWSE-R02</t>
  </si>
  <si>
    <t>Selecting a car model may navigate to the wrong Car Voting page</t>
  </si>
  <si>
    <t>User may view or interact with a different model than the one selected</t>
  </si>
  <si>
    <t>BROWSE-R03</t>
  </si>
  <si>
    <t>View More may navigate to the wrong car model</t>
  </si>
  <si>
    <t>User may access comments/details belonging to another model</t>
  </si>
  <si>
    <t>BROWSE-R04</t>
  </si>
  <si>
    <t>Next/Previous pagination may not change the displayed result set</t>
  </si>
  <si>
    <t>Users may be unable to browse beyond the current set of cars</t>
  </si>
  <si>
    <t>BROWSE-R05</t>
  </si>
  <si>
    <t>Pagination may skip or duplicate car models between pages</t>
  </si>
  <si>
    <t>Users may not be able to access the complete car list</t>
  </si>
  <si>
    <t>BROWSE-R06</t>
  </si>
  <si>
    <t>Navigation links may leave the user on the current page or navigate to an incorrect page</t>
  </si>
  <si>
    <t>Core application navigation may become unreliable</t>
  </si>
  <si>
    <t>VOTE-R01</t>
  </si>
  <si>
    <t>Unauthenticated users may be able to submit votes</t>
  </si>
  <si>
    <t>Could allow unauthorized voting and compromise vote integrity</t>
  </si>
  <si>
    <t>VOTE-R02</t>
  </si>
  <si>
    <t>Unauthenticated users may be able to submit comments</t>
  </si>
  <si>
    <t>Could allow unauthorized content submission</t>
  </si>
  <si>
    <t>VOTE-R03</t>
  </si>
  <si>
    <t>An authenticated user may be able to vote for the same car model more than once when repeat voting is not permitted</t>
  </si>
  <si>
    <t>Could manipulate vote counts and model rankings</t>
  </si>
  <si>
    <t>VOTE-R04</t>
  </si>
  <si>
    <t>Voting restrictions may be bypassed by refreshing or leaving and returning to the page</t>
  </si>
  <si>
    <t>Client/page state may reset while the underlying voting restriction should remain enforced</t>
  </si>
  <si>
    <t>VOTE-R05</t>
  </si>
  <si>
    <t>A user who logs out while remaining on the Car Voting Page [P-03] may still be able to vote or comment</t>
  </si>
  <si>
    <t>Previously loaded authenticated controls may remain usable after the session ends</t>
  </si>
  <si>
    <t>VOTE-R06</t>
  </si>
  <si>
    <t>Excessively long comments may break or significantly disrupt the comments layout</t>
  </si>
  <si>
    <t>Could reduce readability or make the page difficult to use</t>
  </si>
  <si>
    <t>VOTE-R07</t>
  </si>
  <si>
    <t>Special or unexpected characters in comments may render incorrectly or disrupt the page layout</t>
  </si>
  <si>
    <t>Could cause malformed display or incorrect handling of submitted content</t>
  </si>
  <si>
    <t>VOTE-R08</t>
  </si>
  <si>
    <t>A submitted vote may not correctly update the displayed vote count</t>
  </si>
  <si>
    <t>Users may see inaccurate voting information</t>
  </si>
  <si>
    <t>VOTE-R09</t>
  </si>
  <si>
    <t>A submitted comment may not be saved or displayed correctly</t>
  </si>
  <si>
    <t>User-submitted content could be lost, altered, or associated incorrectly</t>
  </si>
  <si>
    <t>VOTE-R10</t>
  </si>
  <si>
    <t>Vote/comment submission may provide incorrect, unclear, or no confirmation</t>
  </si>
  <si>
    <t>Users may not know whether their submission succeeded</t>
  </si>
  <si>
    <t>PROF-R01</t>
  </si>
  <si>
    <t>Profile changes may not be saved correctly</t>
  </si>
  <si>
    <t>Users may lose changes or have incorrect profile information stored</t>
  </si>
  <si>
    <t>PROF-R02</t>
  </si>
  <si>
    <t>Profile fields may accept invalid or unsupported values</t>
  </si>
  <si>
    <t>Invalid user data could be stored</t>
  </si>
  <si>
    <t>PROF-R03</t>
  </si>
  <si>
    <t>Age may accept implausible or invalid values</t>
  </si>
  <si>
    <t>Could result in invalid profile information</t>
  </si>
  <si>
    <t>PROF-R04</t>
  </si>
  <si>
    <t>Gender may accept unsupported values or valid values may be incorrectly rejected</t>
  </si>
  <si>
    <t>Profile data may not comply with the application's intended rules</t>
  </si>
  <si>
    <t>PROF-R05</t>
  </si>
  <si>
    <t>Dropdown fields may accept values outside their available options</t>
  </si>
  <si>
    <t>Could bypass intended input restrictions</t>
  </si>
  <si>
    <t>PROF-R06</t>
  </si>
  <si>
    <t>Selected dropdown values may not be saved correctly</t>
  </si>
  <si>
    <t>User selections could be lost or incorrectly stored</t>
  </si>
  <si>
    <t>PROF-R07</t>
  </si>
  <si>
    <t>Clicking Cancel may save modifications instead of discarding them</t>
  </si>
  <si>
    <t>Users could unintentionally modify their profile</t>
  </si>
  <si>
    <t>PROF-R08</t>
  </si>
  <si>
    <t>Previously saved profile information may not load correctly</t>
  </si>
  <si>
    <t>Users may see outdated, missing, or incorrect information</t>
  </si>
  <si>
    <t>PROF-R09</t>
  </si>
  <si>
    <t>Read-only account information such as Login may be modified when it should not be editable</t>
  </si>
  <si>
    <t>Account identifiers could be unintentionally changed</t>
  </si>
  <si>
    <t>PASS-R01</t>
  </si>
  <si>
    <t>Password may be changed without providing the correct current password</t>
  </si>
  <si>
    <t>An unauthorized person with access to an active session could change the account password</t>
  </si>
  <si>
    <t>PASS-R02</t>
  </si>
  <si>
    <t>New Password and Confirm Password may not be required to match</t>
  </si>
  <si>
    <t>User could unknowingly set a password different from what they intended</t>
  </si>
  <si>
    <t>PASS-R03</t>
  </si>
  <si>
    <t>Invalid or unsupported passwords may be accepted</t>
  </si>
  <si>
    <t>Could allow passwords that violate the application's intended password rules</t>
  </si>
  <si>
    <t>PASS-R04</t>
  </si>
  <si>
    <t>Users could be prevented from changing their password</t>
  </si>
  <si>
    <t>PASS-R05</t>
  </si>
  <si>
    <t>Empty password fields may unintentionally modify the existing password</t>
  </si>
  <si>
    <t>The UI states “leave empty to keep current,” so leaving them empty should preserve the password</t>
  </si>
  <si>
    <t>PASS-R06</t>
  </si>
  <si>
    <t>Incorrect or unclear status messages may be shown when password change fails</t>
  </si>
  <si>
    <t>Users may not understand why the password change was unsuccessful</t>
  </si>
  <si>
    <t>PASS-R07</t>
  </si>
  <si>
    <t>Password change may appear successful but the new password may not actually be stored</t>
  </si>
  <si>
    <t>User could later be unable to authenticate using the expected new password</t>
  </si>
  <si>
    <t>PASS-R08</t>
  </si>
  <si>
    <t>Old password may remain usable after a successful password change</t>
  </si>
  <si>
    <t>Password update may not be applied correctly</t>
  </si>
  <si>
    <t>RANK-R01</t>
  </si>
  <si>
    <t>Car rankings may not be sorted correctly according to vote count</t>
  </si>
  <si>
    <t>Displayed ranking may not accurately represent the cars' vote totals</t>
  </si>
  <si>
    <t>RANK-R02</t>
  </si>
  <si>
    <t>Displayed rank may not correspond with the car's position in the ranking</t>
  </si>
  <si>
    <t>Users may see inconsistent ranking information</t>
  </si>
  <si>
    <t>RANK-R03</t>
  </si>
  <si>
    <t>Vote count displayed in ranking pages may differ from the vote count on the corresponding Car Voting page</t>
  </si>
  <si>
    <t>The same car may show inconsistent rating data across the application</t>
  </si>
  <si>
    <t>RANK-R04</t>
  </si>
  <si>
    <t>Ranking may not update correctly after a new vote is submitted</t>
  </si>
  <si>
    <t>Recently submitted votes may not be reflected in the displayed ranking</t>
  </si>
  <si>
    <t>RANK-R05</t>
  </si>
  <si>
    <t>The same car may show different rank/vote information across Home, Popular Make and Overall Rating</t>
  </si>
  <si>
    <t>Users may receive contradictory rating information depending on the page viewed</t>
  </si>
  <si>
    <t>SES-R01</t>
  </si>
  <si>
    <t>Logout may not properly terminate the authenticated session</t>
  </si>
  <si>
    <t>User may remain authenticated after requesting logout</t>
  </si>
  <si>
    <t>SES-R02</t>
  </si>
  <si>
    <t>Protected user information may remain visible after logout</t>
  </si>
  <si>
    <t>Sensitive account information may remain accessible after the session ends</t>
  </si>
  <si>
    <t>SES-R03</t>
  </si>
  <si>
    <t>User may still be able to perform authenticated actions after logout</t>
  </si>
  <si>
    <t>Protected operations such as profile updates or voting could remain accessible</t>
  </si>
  <si>
    <t>SES-R04</t>
  </si>
  <si>
    <t>Logging out may leave the user on a protected page instead of moving to an appropriate logged-out state/page</t>
  </si>
  <si>
    <t>The page may remain in an inconsistent authenticated/logged-out state</t>
  </si>
  <si>
    <t>SES-R05</t>
  </si>
  <si>
    <t>Refreshing or revisiting a protected page after logout may restore authenticated access</t>
  </si>
  <si>
    <t>Session termination may not persist correctly</t>
  </si>
  <si>
    <t>SES-R06</t>
  </si>
  <si>
    <t>Logout behaviour may be inconsistent depending on which page the user logs out from</t>
  </si>
  <si>
    <t>Session handling may differ across the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</si>
</sst>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7" fontId="4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9" fontId="4" numFmtId="0" xfId="0" applyAlignment="1" applyFill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5.38"/>
    <col customWidth="1" min="5" max="5" width="79.13"/>
    <col customWidth="1" min="6" max="6" width="80.63"/>
    <col customWidth="1" min="7" max="7" width="26.75"/>
  </cols>
  <sheetData>
    <row r="1">
      <c r="A1" s="2" t="s">
        <v>2</v>
      </c>
      <c r="D1" s="5" t="s">
        <v>7</v>
      </c>
      <c r="E1" s="5" t="s">
        <v>8</v>
      </c>
      <c r="F1" s="5" t="s">
        <v>10</v>
      </c>
      <c r="G1" s="5" t="s">
        <v>9</v>
      </c>
    </row>
    <row r="2">
      <c r="A2" s="6" t="s">
        <v>8</v>
      </c>
      <c r="B2" s="6" t="s">
        <v>83</v>
      </c>
      <c r="D2" s="7" t="s">
        <v>19</v>
      </c>
      <c r="E2" s="7" t="s">
        <v>87</v>
      </c>
      <c r="F2" s="7" t="s">
        <v>88</v>
      </c>
      <c r="G2" s="7" t="s">
        <v>90</v>
      </c>
    </row>
    <row r="3">
      <c r="A3" s="6" t="s">
        <v>10</v>
      </c>
      <c r="B3" s="6" t="s">
        <v>96</v>
      </c>
      <c r="D3" s="8" t="s">
        <v>22</v>
      </c>
      <c r="E3" s="8" t="s">
        <v>97</v>
      </c>
      <c r="F3" s="8" t="s">
        <v>98</v>
      </c>
      <c r="G3" s="8" t="s">
        <v>99</v>
      </c>
    </row>
    <row r="4">
      <c r="A4" s="6" t="s">
        <v>9</v>
      </c>
      <c r="B4" s="6" t="s">
        <v>21</v>
      </c>
      <c r="D4" s="9" t="s">
        <v>21</v>
      </c>
      <c r="E4" s="9" t="s">
        <v>100</v>
      </c>
      <c r="F4" s="9" t="s">
        <v>101</v>
      </c>
      <c r="G4" s="9" t="s">
        <v>102</v>
      </c>
    </row>
    <row r="5">
      <c r="D5" s="10" t="s">
        <v>41</v>
      </c>
      <c r="E5" s="10" t="s">
        <v>103</v>
      </c>
      <c r="F5" s="10" t="s">
        <v>104</v>
      </c>
      <c r="G5" s="10" t="s">
        <v>105</v>
      </c>
    </row>
    <row r="6">
      <c r="D6" s="11" t="s">
        <v>38</v>
      </c>
      <c r="E6" s="11" t="s">
        <v>106</v>
      </c>
      <c r="F6" s="11" t="s">
        <v>103</v>
      </c>
      <c r="G6" s="11" t="s">
        <v>103</v>
      </c>
    </row>
    <row r="8">
      <c r="A8" s="1" t="s">
        <v>1</v>
      </c>
      <c r="B8" s="1" t="s">
        <v>8</v>
      </c>
      <c r="C8" s="1" t="s">
        <v>9</v>
      </c>
      <c r="D8" s="1" t="s">
        <v>10</v>
      </c>
      <c r="E8" s="1" t="s">
        <v>5</v>
      </c>
      <c r="F8" s="1" t="s">
        <v>6</v>
      </c>
    </row>
    <row r="9">
      <c r="A9" s="6" t="str">
        <f>IFERROR(__xludf.DUMMYFUNCTION(" IFERROR(
  FILTER(
    {'Master Risks'!A2:A1000,'Master Risks'!D2:D1000,'Master Risks'!F2:F1000,'Master Risks'!E2:E1000,'Master Risks'!B2:B1000,'Master Risks'!C2:C1000},
    'Master Risks'!A2:A1000&lt;&gt;"""",
    IF(OR(B2=""ALL"",B2=""""),'Master Risks'!D2:D"&amp;"1000&lt;&gt;"""", 'Master Risks'!D2:D1000=B2),
    IF(OR(B3=""ALL"",B3=""""),'Master Risks'!F2:F1000&lt;&gt;"""", 'Master Risks'!F2:F1000=B3),
    IF(OR(B4=""ALL"",B4=""""),'Master Risks'!E2:E1000&lt;&gt;"""", 'Master Risks'!E2:E1000=B4)
  ),
  ""No matching risks""
)
"),"AUTH-R01")</f>
        <v>AUTH-R01</v>
      </c>
      <c r="B9" s="12" t="str">
        <f>IFERROR(__xludf.DUMMYFUNCTION("""COMPUTED_VALUE"""),"Low")</f>
        <v>Low</v>
      </c>
      <c r="C9" s="12" t="str">
        <f>IFERROR(__xludf.DUMMYFUNCTION("""COMPUTED_VALUE"""),"High")</f>
        <v>High</v>
      </c>
      <c r="D9" s="12" t="str">
        <f>IFERROR(__xludf.DUMMYFUNCTION("""COMPUTED_VALUE"""),"High")</f>
        <v>High</v>
      </c>
      <c r="E9" s="12" t="str">
        <f>IFERROR(__xludf.DUMMYFUNCTION("""COMPUTED_VALUE"""),"User may be unable to enter credentials into the Login or Password fields")</f>
        <v>User may be unable to enter credentials into the Login or Password fields</v>
      </c>
      <c r="F9" s="12" t="str">
        <f>IFERROR(__xludf.DUMMYFUNCTION("""COMPUTED_VALUE"""),"Prevents the user from attempting authentication")</f>
        <v>Prevents the user from attempting authentication</v>
      </c>
    </row>
    <row r="10">
      <c r="A10" s="12" t="str">
        <f>IFERROR(__xludf.DUMMYFUNCTION("""COMPUTED_VALUE"""),"AUTH-R02")</f>
        <v>AUTH-R02</v>
      </c>
      <c r="B10" s="12" t="str">
        <f>IFERROR(__xludf.DUMMYFUNCTION("""COMPUTED_VALUE"""),"Low")</f>
        <v>Low</v>
      </c>
      <c r="C10" s="12" t="str">
        <f>IFERROR(__xludf.DUMMYFUNCTION("""COMPUTED_VALUE"""),"High")</f>
        <v>High</v>
      </c>
      <c r="D10" s="12" t="str">
        <f>IFERROR(__xludf.DUMMYFUNCTION("""COMPUTED_VALUE"""),"High")</f>
        <v>High</v>
      </c>
      <c r="E10" s="12" t="str">
        <f>IFERROR(__xludf.DUMMYFUNCTION("""COMPUTED_VALUE"""),"Login button may not initiate authentication when clicked")</f>
        <v>Login button may not initiate authentication when clicked</v>
      </c>
      <c r="F10" s="12" t="str">
        <f>IFERROR(__xludf.DUMMYFUNCTION("""COMPUTED_VALUE"""),"Prevents the user from submitting credentials")</f>
        <v>Prevents the user from submitting credentials</v>
      </c>
    </row>
    <row r="11">
      <c r="A11" s="12" t="str">
        <f>IFERROR(__xludf.DUMMYFUNCTION("""COMPUTED_VALUE"""),"AUTH-R03")</f>
        <v>AUTH-R03</v>
      </c>
      <c r="B11" s="12" t="str">
        <f>IFERROR(__xludf.DUMMYFUNCTION("""COMPUTED_VALUE"""),"Unknown")</f>
        <v>Unknown</v>
      </c>
      <c r="C11" s="12" t="str">
        <f>IFERROR(__xludf.DUMMYFUNCTION("""COMPUTED_VALUE"""),"Critical")</f>
        <v>Critical</v>
      </c>
      <c r="D11" s="12" t="str">
        <f>IFERROR(__xludf.DUMMYFUNCTION("""COMPUTED_VALUE"""),"High")</f>
        <v>High</v>
      </c>
      <c r="E11" s="12" t="str">
        <f>IFERROR(__xludf.DUMMYFUNCTION("""COMPUTED_VALUE"""),"Invalid credential combinations may successfully authenticate the user")</f>
        <v>Invalid credential combinations may successfully authenticate the user</v>
      </c>
      <c r="F11" s="12" t="str">
        <f>IFERROR(__xludf.DUMMYFUNCTION("""COMPUTED_VALUE"""),"Could allow unauthorized access")</f>
        <v>Could allow unauthorized access</v>
      </c>
      <c r="G11" s="4"/>
      <c r="H11" s="4"/>
    </row>
    <row r="12">
      <c r="A12" s="12" t="str">
        <f>IFERROR(__xludf.DUMMYFUNCTION("""COMPUTED_VALUE"""),"AUTH-R04")</f>
        <v>AUTH-R04</v>
      </c>
      <c r="B12" s="12" t="str">
        <f>IFERROR(__xludf.DUMMYFUNCTION("""COMPUTED_VALUE"""),"Medium")</f>
        <v>Medium</v>
      </c>
      <c r="C12" s="12" t="str">
        <f>IFERROR(__xludf.DUMMYFUNCTION("""COMPUTED_VALUE"""),"High")</f>
        <v>High</v>
      </c>
      <c r="D12" s="12" t="str">
        <f>IFERROR(__xludf.DUMMYFUNCTION("""COMPUTED_VALUE"""),"High")</f>
        <v>High</v>
      </c>
      <c r="E12" s="12" t="str">
        <f>IFERROR(__xludf.DUMMYFUNCTION("""COMPUTED_VALUE"""),"Valid credentials may fail to authenticate the user")</f>
        <v>Valid credentials may fail to authenticate the user</v>
      </c>
      <c r="F12" s="12" t="str">
        <f>IFERROR(__xludf.DUMMYFUNCTION("""COMPUTED_VALUE"""),"Prevents legitimate users from accessing authenticated functionality")</f>
        <v>Prevents legitimate users from accessing authenticated functionality</v>
      </c>
    </row>
    <row r="13">
      <c r="A13" s="12" t="str">
        <f>IFERROR(__xludf.DUMMYFUNCTION("""COMPUTED_VALUE"""),"REG-R03")</f>
        <v>REG-R03</v>
      </c>
      <c r="B13" s="12" t="str">
        <f>IFERROR(__xludf.DUMMYFUNCTION("""COMPUTED_VALUE"""),"Unknown")</f>
        <v>Unknown</v>
      </c>
      <c r="C13" s="12" t="str">
        <f>IFERROR(__xludf.DUMMYFUNCTION("""COMPUTED_VALUE"""),"High")</f>
        <v>High</v>
      </c>
      <c r="D13" s="12" t="str">
        <f>IFERROR(__xludf.DUMMYFUNCTION("""COMPUTED_VALUE"""),"High")</f>
        <v>High</v>
      </c>
      <c r="E13" s="12" t="str">
        <f>IFERROR(__xludf.DUMMYFUNCTION("""COMPUTED_VALUE"""),"Registration may incorrectly handle duplicate user-identifying values")</f>
        <v>Registration may incorrectly handle duplicate user-identifying values</v>
      </c>
      <c r="F13" s="12" t="str">
        <f>IFERROR(__xludf.DUMMYFUNCTION("""COMPUTED_VALUE"""),"Could create conflicting accounts or incorrectly prevent legitimate registration")</f>
        <v>Could create conflicting accounts or incorrectly prevent legitimate registration</v>
      </c>
    </row>
    <row r="14">
      <c r="A14" s="12" t="str">
        <f>IFERROR(__xludf.DUMMYFUNCTION("""COMPUTED_VALUE"""),"REG-R04")</f>
        <v>REG-R04</v>
      </c>
      <c r="B14" s="12" t="str">
        <f>IFERROR(__xludf.DUMMYFUNCTION("""COMPUTED_VALUE"""),"Medium")</f>
        <v>Medium</v>
      </c>
      <c r="C14" s="12" t="str">
        <f>IFERROR(__xludf.DUMMYFUNCTION("""COMPUTED_VALUE"""),"High")</f>
        <v>High</v>
      </c>
      <c r="D14" s="12" t="str">
        <f>IFERROR(__xludf.DUMMYFUNCTION("""COMPUTED_VALUE"""),"High")</f>
        <v>High</v>
      </c>
      <c r="E14" s="12" t="str">
        <f>IFERROR(__xludf.DUMMYFUNCTION("""COMPUTED_VALUE"""),"Login/email field may accept invalidly formatted values")</f>
        <v>Login/email field may accept invalidly formatted values</v>
      </c>
      <c r="F14" s="12" t="str">
        <f>IFERROR(__xludf.DUMMYFUNCTION("""COMPUTED_VALUE"""),"Could create accounts with unusable or invalid identifiers")</f>
        <v>Could create accounts with unusable or invalid identifiers</v>
      </c>
    </row>
    <row r="15">
      <c r="A15" s="12" t="str">
        <f>IFERROR(__xludf.DUMMYFUNCTION("""COMPUTED_VALUE"""),"REG-R05")</f>
        <v>REG-R05</v>
      </c>
      <c r="B15" s="12" t="str">
        <f>IFERROR(__xludf.DUMMYFUNCTION("""COMPUTED_VALUE"""),"Medium")</f>
        <v>Medium</v>
      </c>
      <c r="C15" s="12" t="str">
        <f>IFERROR(__xludf.DUMMYFUNCTION("""COMPUTED_VALUE"""),"High")</f>
        <v>High</v>
      </c>
      <c r="D15" s="12" t="str">
        <f>IFERROR(__xludf.DUMMYFUNCTION("""COMPUTED_VALUE"""),"High")</f>
        <v>High</v>
      </c>
      <c r="E15" s="12" t="str">
        <f>IFERROR(__xludf.DUMMYFUNCTION("""COMPUTED_VALUE"""),"Valid login/email values may be incorrectly rejected")</f>
        <v>Valid login/email values may be incorrectly rejected</v>
      </c>
      <c r="F15" s="12" t="str">
        <f>IFERROR(__xludf.DUMMYFUNCTION("""COMPUTED_VALUE"""),"Could prevent legitimate users from registering")</f>
        <v>Could prevent legitimate users from registering</v>
      </c>
    </row>
    <row r="16">
      <c r="A16" s="12" t="str">
        <f>IFERROR(__xludf.DUMMYFUNCTION("""COMPUTED_VALUE"""),"REG-R06")</f>
        <v>REG-R06</v>
      </c>
      <c r="B16" s="12" t="str">
        <f>IFERROR(__xludf.DUMMYFUNCTION("""COMPUTED_VALUE"""),"Unknown")</f>
        <v>Unknown</v>
      </c>
      <c r="C16" s="12" t="str">
        <f>IFERROR(__xludf.DUMMYFUNCTION("""COMPUTED_VALUE"""),"High")</f>
        <v>High</v>
      </c>
      <c r="D16" s="12" t="str">
        <f>IFERROR(__xludf.DUMMYFUNCTION("""COMPUTED_VALUE"""),"High")</f>
        <v>High</v>
      </c>
      <c r="E16" s="12" t="str">
        <f>IFERROR(__xludf.DUMMYFUNCTION("""COMPUTED_VALUE"""),"Password may accept values that do not satisfy required password rules")</f>
        <v>Password may accept values that do not satisfy required password rules</v>
      </c>
      <c r="F16" s="12" t="str">
        <f>IFERROR(__xludf.DUMMYFUNCTION("""COMPUTED_VALUE"""),"Could create accounts with passwords that violate the application's intended validation rules")</f>
        <v>Could create accounts with passwords that violate the application's intended validation rules</v>
      </c>
    </row>
    <row r="17">
      <c r="A17" s="12" t="str">
        <f>IFERROR(__xludf.DUMMYFUNCTION("""COMPUTED_VALUE"""),"REG-R08")</f>
        <v>REG-R08</v>
      </c>
      <c r="B17" s="12" t="str">
        <f>IFERROR(__xludf.DUMMYFUNCTION("""COMPUTED_VALUE"""),"Medium")</f>
        <v>Medium</v>
      </c>
      <c r="C17" s="12" t="str">
        <f>IFERROR(__xludf.DUMMYFUNCTION("""COMPUTED_VALUE"""),"High")</f>
        <v>High</v>
      </c>
      <c r="D17" s="12" t="str">
        <f>IFERROR(__xludf.DUMMYFUNCTION("""COMPUTED_VALUE"""),"High")</f>
        <v>High</v>
      </c>
      <c r="E17" s="12" t="str">
        <f>IFERROR(__xludf.DUMMYFUNCTION("""COMPUTED_VALUE"""),"Password and Confirm Password may not be validated against each other")</f>
        <v>Password and Confirm Password may not be validated against each other</v>
      </c>
      <c r="F17" s="12" t="str">
        <f>IFERROR(__xludf.DUMMYFUNCTION("""COMPUTED_VALUE"""),"Could create an account with an unintended password or produce inconsistent registration behaviour")</f>
        <v>Could create an account with an unintended password or produce inconsistent registration behaviour</v>
      </c>
    </row>
    <row r="18">
      <c r="A18" s="12" t="str">
        <f>IFERROR(__xludf.DUMMYFUNCTION("""COMPUTED_VALUE"""),"REG-R09")</f>
        <v>REG-R09</v>
      </c>
      <c r="B18" s="12" t="str">
        <f>IFERROR(__xludf.DUMMYFUNCTION("""COMPUTED_VALUE"""),"Unknown")</f>
        <v>Unknown</v>
      </c>
      <c r="C18" s="12" t="str">
        <f>IFERROR(__xludf.DUMMYFUNCTION("""COMPUTED_VALUE"""),"High")</f>
        <v>High</v>
      </c>
      <c r="D18" s="12" t="str">
        <f>IFERROR(__xludf.DUMMYFUNCTION("""COMPUTED_VALUE"""),"High")</f>
        <v>High</v>
      </c>
      <c r="E18" s="12" t="str">
        <f>IFERROR(__xludf.DUMMYFUNCTION("""COMPUTED_VALUE"""),"Registration inputs may not safely handle unexpected or malicious input")</f>
        <v>Registration inputs may not safely handle unexpected or malicious input</v>
      </c>
      <c r="F18" s="12" t="str">
        <f>IFERROR(__xludf.DUMMYFUNCTION("""COMPUTED_VALUE"""),"Unexpected input could cause incorrect behaviour, errors, or unsafe processing")</f>
        <v>Unexpected input could cause incorrect behaviour, errors, or unsafe processing</v>
      </c>
    </row>
    <row r="19">
      <c r="A19" s="12" t="str">
        <f>IFERROR(__xludf.DUMMYFUNCTION("""COMPUTED_VALUE"""),"REG-R11")</f>
        <v>REG-R11</v>
      </c>
      <c r="B19" s="12" t="str">
        <f>IFERROR(__xludf.DUMMYFUNCTION("""COMPUTED_VALUE"""),"Medium")</f>
        <v>Medium</v>
      </c>
      <c r="C19" s="12" t="str">
        <f>IFERROR(__xludf.DUMMYFUNCTION("""COMPUTED_VALUE"""),"High")</f>
        <v>High</v>
      </c>
      <c r="D19" s="12" t="str">
        <f>IFERROR(__xludf.DUMMYFUNCTION("""COMPUTED_VALUE"""),"High")</f>
        <v>High</v>
      </c>
      <c r="E19" s="12" t="str">
        <f>IFERROR(__xludf.DUMMYFUNCTION("""COMPUTED_VALUE"""),"Valid registration details may fail to create an account")</f>
        <v>Valid registration details may fail to create an account</v>
      </c>
      <c r="F19" s="12" t="str">
        <f>IFERROR(__xludf.DUMMYFUNCTION("""COMPUTED_VALUE"""),"Prevents legitimate users from registering")</f>
        <v>Prevents legitimate users from registering</v>
      </c>
    </row>
    <row r="20">
      <c r="A20" s="12" t="str">
        <f>IFERROR(__xludf.DUMMYFUNCTION("""COMPUTED_VALUE"""),"REG-R12")</f>
        <v>REG-R12</v>
      </c>
      <c r="B20" s="12" t="str">
        <f>IFERROR(__xludf.DUMMYFUNCTION("""COMPUTED_VALUE"""),"Low")</f>
        <v>Low</v>
      </c>
      <c r="C20" s="12" t="str">
        <f>IFERROR(__xludf.DUMMYFUNCTION("""COMPUTED_VALUE"""),"High")</f>
        <v>High</v>
      </c>
      <c r="D20" s="12" t="str">
        <f>IFERROR(__xludf.DUMMYFUNCTION("""COMPUTED_VALUE"""),"High")</f>
        <v>High</v>
      </c>
      <c r="E20" s="12" t="str">
        <f>IFERROR(__xludf.DUMMYFUNCTION("""COMPUTED_VALUE"""),"Registration submission may fail to initiate when the Register button is used")</f>
        <v>Registration submission may fail to initiate when the Register button is used</v>
      </c>
      <c r="F20" s="12" t="str">
        <f>IFERROR(__xludf.DUMMYFUNCTION("""COMPUTED_VALUE"""),"Prevents users from completing registration")</f>
        <v>Prevents users from completing registration</v>
      </c>
    </row>
    <row r="21">
      <c r="A21" s="12" t="str">
        <f>IFERROR(__xludf.DUMMYFUNCTION("""COMPUTED_VALUE"""),"BROWSE-R02")</f>
        <v>BROWSE-R02</v>
      </c>
      <c r="B21" s="12" t="str">
        <f>IFERROR(__xludf.DUMMYFUNCTION("""COMPUTED_VALUE"""),"Medium")</f>
        <v>Medium</v>
      </c>
      <c r="C21" s="12" t="str">
        <f>IFERROR(__xludf.DUMMYFUNCTION("""COMPUTED_VALUE"""),"High")</f>
        <v>High</v>
      </c>
      <c r="D21" s="12" t="str">
        <f>IFERROR(__xludf.DUMMYFUNCTION("""COMPUTED_VALUE"""),"High")</f>
        <v>High</v>
      </c>
      <c r="E21" s="12" t="str">
        <f>IFERROR(__xludf.DUMMYFUNCTION("""COMPUTED_VALUE"""),"Selecting a car model may navigate to the wrong Car Voting page")</f>
        <v>Selecting a car model may navigate to the wrong Car Voting page</v>
      </c>
      <c r="F21" s="12" t="str">
        <f>IFERROR(__xludf.DUMMYFUNCTION("""COMPUTED_VALUE"""),"User may view or interact with a different model than the one selected")</f>
        <v>User may view or interact with a different model than the one selected</v>
      </c>
    </row>
    <row r="22">
      <c r="A22" s="12" t="str">
        <f>IFERROR(__xludf.DUMMYFUNCTION("""COMPUTED_VALUE"""),"BROWSE-R03")</f>
        <v>BROWSE-R03</v>
      </c>
      <c r="B22" s="12" t="str">
        <f>IFERROR(__xludf.DUMMYFUNCTION("""COMPUTED_VALUE"""),"Medium")</f>
        <v>Medium</v>
      </c>
      <c r="C22" s="12" t="str">
        <f>IFERROR(__xludf.DUMMYFUNCTION("""COMPUTED_VALUE"""),"High")</f>
        <v>High</v>
      </c>
      <c r="D22" s="12" t="str">
        <f>IFERROR(__xludf.DUMMYFUNCTION("""COMPUTED_VALUE"""),"High")</f>
        <v>High</v>
      </c>
      <c r="E22" s="12" t="str">
        <f>IFERROR(__xludf.DUMMYFUNCTION("""COMPUTED_VALUE"""),"View More may navigate to the wrong car model")</f>
        <v>View More may navigate to the wrong car model</v>
      </c>
      <c r="F22" s="12" t="str">
        <f>IFERROR(__xludf.DUMMYFUNCTION("""COMPUTED_VALUE"""),"User may access comments/details belonging to another model")</f>
        <v>User may access comments/details belonging to another model</v>
      </c>
    </row>
    <row r="23">
      <c r="A23" s="12" t="str">
        <f>IFERROR(__xludf.DUMMYFUNCTION("""COMPUTED_VALUE"""),"BROWSE-R06")</f>
        <v>BROWSE-R06</v>
      </c>
      <c r="B23" s="12" t="str">
        <f>IFERROR(__xludf.DUMMYFUNCTION("""COMPUTED_VALUE"""),"Medium")</f>
        <v>Medium</v>
      </c>
      <c r="C23" s="12" t="str">
        <f>IFERROR(__xludf.DUMMYFUNCTION("""COMPUTED_VALUE"""),"High")</f>
        <v>High</v>
      </c>
      <c r="D23" s="12" t="str">
        <f>IFERROR(__xludf.DUMMYFUNCTION("""COMPUTED_VALUE"""),"High")</f>
        <v>High</v>
      </c>
      <c r="E23" s="12" t="str">
        <f>IFERROR(__xludf.DUMMYFUNCTION("""COMPUTED_VALUE"""),"Navigation links may leave the user on the current page or navigate to an incorrect page")</f>
        <v>Navigation links may leave the user on the current page or navigate to an incorrect page</v>
      </c>
      <c r="F23" s="12" t="str">
        <f>IFERROR(__xludf.DUMMYFUNCTION("""COMPUTED_VALUE"""),"Core application navigation may become unreliable")</f>
        <v>Core application navigation may become unreliable</v>
      </c>
    </row>
    <row r="24">
      <c r="A24" s="12" t="str">
        <f>IFERROR(__xludf.DUMMYFUNCTION("""COMPUTED_VALUE"""),"VOTE-R01")</f>
        <v>VOTE-R01</v>
      </c>
      <c r="B24" s="12" t="str">
        <f>IFERROR(__xludf.DUMMYFUNCTION("""COMPUTED_VALUE"""),"Unknown")</f>
        <v>Unknown</v>
      </c>
      <c r="C24" s="12" t="str">
        <f>IFERROR(__xludf.DUMMYFUNCTION("""COMPUTED_VALUE"""),"High")</f>
        <v>High</v>
      </c>
      <c r="D24" s="12" t="str">
        <f>IFERROR(__xludf.DUMMYFUNCTION("""COMPUTED_VALUE"""),"High")</f>
        <v>High</v>
      </c>
      <c r="E24" s="12" t="str">
        <f>IFERROR(__xludf.DUMMYFUNCTION("""COMPUTED_VALUE"""),"Unauthenticated users may be able to submit votes")</f>
        <v>Unauthenticated users may be able to submit votes</v>
      </c>
      <c r="F24" s="12" t="str">
        <f>IFERROR(__xludf.DUMMYFUNCTION("""COMPUTED_VALUE"""),"Could allow unauthorized voting and compromise vote integrity")</f>
        <v>Could allow unauthorized voting and compromise vote integrity</v>
      </c>
    </row>
    <row r="25">
      <c r="A25" s="12" t="str">
        <f>IFERROR(__xludf.DUMMYFUNCTION("""COMPUTED_VALUE"""),"VOTE-R02")</f>
        <v>VOTE-R02</v>
      </c>
      <c r="B25" s="12" t="str">
        <f>IFERROR(__xludf.DUMMYFUNCTION("""COMPUTED_VALUE"""),"Unknown")</f>
        <v>Unknown</v>
      </c>
      <c r="C25" s="12" t="str">
        <f>IFERROR(__xludf.DUMMYFUNCTION("""COMPUTED_VALUE"""),"High")</f>
        <v>High</v>
      </c>
      <c r="D25" s="12" t="str">
        <f>IFERROR(__xludf.DUMMYFUNCTION("""COMPUTED_VALUE"""),"High")</f>
        <v>High</v>
      </c>
      <c r="E25" s="12" t="str">
        <f>IFERROR(__xludf.DUMMYFUNCTION("""COMPUTED_VALUE"""),"Unauthenticated users may be able to submit comments")</f>
        <v>Unauthenticated users may be able to submit comments</v>
      </c>
      <c r="F25" s="12" t="str">
        <f>IFERROR(__xludf.DUMMYFUNCTION("""COMPUTED_VALUE"""),"Could allow unauthorized content submission")</f>
        <v>Could allow unauthorized content submission</v>
      </c>
    </row>
    <row r="26">
      <c r="A26" s="12" t="str">
        <f>IFERROR(__xludf.DUMMYFUNCTION("""COMPUTED_VALUE"""),"VOTE-R03")</f>
        <v>VOTE-R03</v>
      </c>
      <c r="B26" s="12" t="str">
        <f>IFERROR(__xludf.DUMMYFUNCTION("""COMPUTED_VALUE"""),"High")</f>
        <v>High</v>
      </c>
      <c r="C26" s="12" t="str">
        <f>IFERROR(__xludf.DUMMYFUNCTION("""COMPUTED_VALUE"""),"High")</f>
        <v>High</v>
      </c>
      <c r="D26" s="12" t="str">
        <f>IFERROR(__xludf.DUMMYFUNCTION("""COMPUTED_VALUE"""),"High")</f>
        <v>High</v>
      </c>
      <c r="E26" s="12" t="str">
        <f>IFERROR(__xludf.DUMMYFUNCTION("""COMPUTED_VALUE"""),"An authenticated user may be able to vote for the same car model more than once when repeat voting is not permitted")</f>
        <v>An authenticated user may be able to vote for the same car model more than once when repeat voting is not permitted</v>
      </c>
      <c r="F26" s="12" t="str">
        <f>IFERROR(__xludf.DUMMYFUNCTION("""COMPUTED_VALUE"""),"Could manipulate vote counts and model rankings")</f>
        <v>Could manipulate vote counts and model rankings</v>
      </c>
    </row>
    <row r="27">
      <c r="A27" s="12" t="str">
        <f>IFERROR(__xludf.DUMMYFUNCTION("""COMPUTED_VALUE"""),"VOTE-R04")</f>
        <v>VOTE-R04</v>
      </c>
      <c r="B27" s="12" t="str">
        <f>IFERROR(__xludf.DUMMYFUNCTION("""COMPUTED_VALUE"""),"High")</f>
        <v>High</v>
      </c>
      <c r="C27" s="12" t="str">
        <f>IFERROR(__xludf.DUMMYFUNCTION("""COMPUTED_VALUE"""),"High")</f>
        <v>High</v>
      </c>
      <c r="D27" s="12" t="str">
        <f>IFERROR(__xludf.DUMMYFUNCTION("""COMPUTED_VALUE"""),"High")</f>
        <v>High</v>
      </c>
      <c r="E27" s="12" t="str">
        <f>IFERROR(__xludf.DUMMYFUNCTION("""COMPUTED_VALUE"""),"Voting restrictions may be bypassed by refreshing or leaving and returning to the page")</f>
        <v>Voting restrictions may be bypassed by refreshing or leaving and returning to the page</v>
      </c>
      <c r="F27" s="12" t="str">
        <f>IFERROR(__xludf.DUMMYFUNCTION("""COMPUTED_VALUE"""),"Client/page state may reset while the underlying voting restriction should remain enforced")</f>
        <v>Client/page state may reset while the underlying voting restriction should remain enforced</v>
      </c>
    </row>
    <row r="28">
      <c r="A28" s="12" t="str">
        <f>IFERROR(__xludf.DUMMYFUNCTION("""COMPUTED_VALUE"""),"VOTE-R05")</f>
        <v>VOTE-R05</v>
      </c>
      <c r="B28" s="12" t="str">
        <f>IFERROR(__xludf.DUMMYFUNCTION("""COMPUTED_VALUE"""),"Medium")</f>
        <v>Medium</v>
      </c>
      <c r="C28" s="12" t="str">
        <f>IFERROR(__xludf.DUMMYFUNCTION("""COMPUTED_VALUE"""),"High")</f>
        <v>High</v>
      </c>
      <c r="D28" s="12" t="str">
        <f>IFERROR(__xludf.DUMMYFUNCTION("""COMPUTED_VALUE"""),"High")</f>
        <v>High</v>
      </c>
      <c r="E28" s="12" t="str">
        <f>IFERROR(__xludf.DUMMYFUNCTION("""COMPUTED_VALUE"""),"A user who logs out while remaining on the Car Voting Page [P-03] may still be able to vote or comment")</f>
        <v>A user who logs out while remaining on the Car Voting Page [P-03] may still be able to vote or comment</v>
      </c>
      <c r="F28" s="12" t="str">
        <f>IFERROR(__xludf.DUMMYFUNCTION("""COMPUTED_VALUE"""),"Previously loaded authenticated controls may remain usable after the session ends")</f>
        <v>Previously loaded authenticated controls may remain usable after the session ends</v>
      </c>
    </row>
    <row r="29">
      <c r="A29" s="12" t="str">
        <f>IFERROR(__xludf.DUMMYFUNCTION("""COMPUTED_VALUE"""),"VOTE-R08")</f>
        <v>VOTE-R08</v>
      </c>
      <c r="B29" s="12" t="str">
        <f>IFERROR(__xludf.DUMMYFUNCTION("""COMPUTED_VALUE"""),"Medium")</f>
        <v>Medium</v>
      </c>
      <c r="C29" s="12" t="str">
        <f>IFERROR(__xludf.DUMMYFUNCTION("""COMPUTED_VALUE"""),"High")</f>
        <v>High</v>
      </c>
      <c r="D29" s="12" t="str">
        <f>IFERROR(__xludf.DUMMYFUNCTION("""COMPUTED_VALUE"""),"High")</f>
        <v>High</v>
      </c>
      <c r="E29" s="12" t="str">
        <f>IFERROR(__xludf.DUMMYFUNCTION("""COMPUTED_VALUE"""),"A submitted vote may not correctly update the displayed vote count")</f>
        <v>A submitted vote may not correctly update the displayed vote count</v>
      </c>
      <c r="F29" s="12" t="str">
        <f>IFERROR(__xludf.DUMMYFUNCTION("""COMPUTED_VALUE"""),"Users may see inaccurate voting information")</f>
        <v>Users may see inaccurate voting information</v>
      </c>
    </row>
    <row r="30">
      <c r="A30" s="12" t="str">
        <f>IFERROR(__xludf.DUMMYFUNCTION("""COMPUTED_VALUE"""),"PROF-R09")</f>
        <v>PROF-R09</v>
      </c>
      <c r="B30" s="12" t="str">
        <f>IFERROR(__xludf.DUMMYFUNCTION("""COMPUTED_VALUE"""),"Low")</f>
        <v>Low</v>
      </c>
      <c r="C30" s="12" t="str">
        <f>IFERROR(__xludf.DUMMYFUNCTION("""COMPUTED_VALUE"""),"Medium")</f>
        <v>Medium</v>
      </c>
      <c r="D30" s="12" t="str">
        <f>IFERROR(__xludf.DUMMYFUNCTION("""COMPUTED_VALUE"""),"High")</f>
        <v>High</v>
      </c>
      <c r="E30" s="12" t="str">
        <f>IFERROR(__xludf.DUMMYFUNCTION("""COMPUTED_VALUE"""),"Read-only account information such as Login may be modified when it should not be editable")</f>
        <v>Read-only account information such as Login may be modified when it should not be editable</v>
      </c>
      <c r="F30" s="12" t="str">
        <f>IFERROR(__xludf.DUMMYFUNCTION("""COMPUTED_VALUE"""),"Account identifiers could be unintentionally changed")</f>
        <v>Account identifiers could be unintentionally changed</v>
      </c>
    </row>
    <row r="31">
      <c r="A31" s="12" t="str">
        <f>IFERROR(__xludf.DUMMYFUNCTION("""COMPUTED_VALUE"""),"PASS-R01")</f>
        <v>PASS-R01</v>
      </c>
      <c r="B31" s="12" t="str">
        <f>IFERROR(__xludf.DUMMYFUNCTION("""COMPUTED_VALUE"""),"Unknown")</f>
        <v>Unknown</v>
      </c>
      <c r="C31" s="12" t="str">
        <f>IFERROR(__xludf.DUMMYFUNCTION("""COMPUTED_VALUE"""),"High")</f>
        <v>High</v>
      </c>
      <c r="D31" s="12" t="str">
        <f>IFERROR(__xludf.DUMMYFUNCTION("""COMPUTED_VALUE"""),"High")</f>
        <v>High</v>
      </c>
      <c r="E31" s="12" t="str">
        <f>IFERROR(__xludf.DUMMYFUNCTION("""COMPUTED_VALUE"""),"Password may be changed without providing the correct current password")</f>
        <v>Password may be changed without providing the correct current password</v>
      </c>
      <c r="F31" s="12" t="str">
        <f>IFERROR(__xludf.DUMMYFUNCTION("""COMPUTED_VALUE"""),"An unauthorized person with access to an active session could change the account password")</f>
        <v>An unauthorized person with access to an active session could change the account password</v>
      </c>
    </row>
    <row r="32">
      <c r="A32" s="12" t="str">
        <f>IFERROR(__xludf.DUMMYFUNCTION("""COMPUTED_VALUE"""),"PASS-R02")</f>
        <v>PASS-R02</v>
      </c>
      <c r="B32" s="12" t="str">
        <f>IFERROR(__xludf.DUMMYFUNCTION("""COMPUTED_VALUE"""),"Medium")</f>
        <v>Medium</v>
      </c>
      <c r="C32" s="12" t="str">
        <f>IFERROR(__xludf.DUMMYFUNCTION("""COMPUTED_VALUE"""),"High")</f>
        <v>High</v>
      </c>
      <c r="D32" s="12" t="str">
        <f>IFERROR(__xludf.DUMMYFUNCTION("""COMPUTED_VALUE"""),"High")</f>
        <v>High</v>
      </c>
      <c r="E32" s="12" t="str">
        <f>IFERROR(__xludf.DUMMYFUNCTION("""COMPUTED_VALUE"""),"New Password and Confirm Password may not be required to match")</f>
        <v>New Password and Confirm Password may not be required to match</v>
      </c>
      <c r="F32" s="12" t="str">
        <f>IFERROR(__xludf.DUMMYFUNCTION("""COMPUTED_VALUE"""),"User could unknowingly set a password different from what they intended")</f>
        <v>User could unknowingly set a password different from what they intended</v>
      </c>
    </row>
    <row r="33">
      <c r="A33" s="12" t="str">
        <f>IFERROR(__xludf.DUMMYFUNCTION("""COMPUTED_VALUE"""),"PASS-R03")</f>
        <v>PASS-R03</v>
      </c>
      <c r="B33" s="12" t="str">
        <f>IFERROR(__xludf.DUMMYFUNCTION("""COMPUTED_VALUE"""),"Medium")</f>
        <v>Medium</v>
      </c>
      <c r="C33" s="12" t="str">
        <f>IFERROR(__xludf.DUMMYFUNCTION("""COMPUTED_VALUE"""),"High")</f>
        <v>High</v>
      </c>
      <c r="D33" s="12" t="str">
        <f>IFERROR(__xludf.DUMMYFUNCTION("""COMPUTED_VALUE"""),"High")</f>
        <v>High</v>
      </c>
      <c r="E33" s="12" t="str">
        <f>IFERROR(__xludf.DUMMYFUNCTION("""COMPUTED_VALUE"""),"Invalid or unsupported passwords may be accepted")</f>
        <v>Invalid or unsupported passwords may be accepted</v>
      </c>
      <c r="F33" s="12" t="str">
        <f>IFERROR(__xludf.DUMMYFUNCTION("""COMPUTED_VALUE"""),"Could allow passwords that violate the application's intended password rules")</f>
        <v>Could allow passwords that violate the application's intended password rules</v>
      </c>
    </row>
    <row r="34">
      <c r="A34" s="12" t="str">
        <f>IFERROR(__xludf.DUMMYFUNCTION("""COMPUTED_VALUE"""),"PASS-R05")</f>
        <v>PASS-R05</v>
      </c>
      <c r="B34" s="12" t="str">
        <f>IFERROR(__xludf.DUMMYFUNCTION("""COMPUTED_VALUE"""),"Medium")</f>
        <v>Medium</v>
      </c>
      <c r="C34" s="12" t="str">
        <f>IFERROR(__xludf.DUMMYFUNCTION("""COMPUTED_VALUE"""),"High")</f>
        <v>High</v>
      </c>
      <c r="D34" s="12" t="str">
        <f>IFERROR(__xludf.DUMMYFUNCTION("""COMPUTED_VALUE"""),"High")</f>
        <v>High</v>
      </c>
      <c r="E34" s="12" t="str">
        <f>IFERROR(__xludf.DUMMYFUNCTION("""COMPUTED_VALUE"""),"Empty password fields may unintentionally modify the existing password")</f>
        <v>Empty password fields may unintentionally modify the existing password</v>
      </c>
      <c r="F34" s="12" t="str">
        <f>IFERROR(__xludf.DUMMYFUNCTION("""COMPUTED_VALUE"""),"The UI states “leave empty to keep current,” so leaving them empty should preserve the password")</f>
        <v>The UI states “leave empty to keep current,” so leaving them empty should preserve the password</v>
      </c>
    </row>
    <row r="35">
      <c r="A35" s="12" t="str">
        <f>IFERROR(__xludf.DUMMYFUNCTION("""COMPUTED_VALUE"""),"PASS-R07")</f>
        <v>PASS-R07</v>
      </c>
      <c r="B35" s="12" t="str">
        <f>IFERROR(__xludf.DUMMYFUNCTION("""COMPUTED_VALUE"""),"Medium")</f>
        <v>Medium</v>
      </c>
      <c r="C35" s="12" t="str">
        <f>IFERROR(__xludf.DUMMYFUNCTION("""COMPUTED_VALUE"""),"High")</f>
        <v>High</v>
      </c>
      <c r="D35" s="12" t="str">
        <f>IFERROR(__xludf.DUMMYFUNCTION("""COMPUTED_VALUE"""),"High")</f>
        <v>High</v>
      </c>
      <c r="E35" s="12" t="str">
        <f>IFERROR(__xludf.DUMMYFUNCTION("""COMPUTED_VALUE"""),"Password change may appear successful but the new password may not actually be stored")</f>
        <v>Password change may appear successful but the new password may not actually be stored</v>
      </c>
      <c r="F35" s="12" t="str">
        <f>IFERROR(__xludf.DUMMYFUNCTION("""COMPUTED_VALUE"""),"User could later be unable to authenticate using the expected new password")</f>
        <v>User could later be unable to authenticate using the expected new password</v>
      </c>
    </row>
    <row r="36">
      <c r="A36" s="12" t="str">
        <f>IFERROR(__xludf.DUMMYFUNCTION("""COMPUTED_VALUE"""),"PASS-R08")</f>
        <v>PASS-R08</v>
      </c>
      <c r="B36" s="12" t="str">
        <f>IFERROR(__xludf.DUMMYFUNCTION("""COMPUTED_VALUE"""),"Medium")</f>
        <v>Medium</v>
      </c>
      <c r="C36" s="12" t="str">
        <f>IFERROR(__xludf.DUMMYFUNCTION("""COMPUTED_VALUE"""),"High")</f>
        <v>High</v>
      </c>
      <c r="D36" s="12" t="str">
        <f>IFERROR(__xludf.DUMMYFUNCTION("""COMPUTED_VALUE"""),"High")</f>
        <v>High</v>
      </c>
      <c r="E36" s="12" t="str">
        <f>IFERROR(__xludf.DUMMYFUNCTION("""COMPUTED_VALUE"""),"Old password may remain usable after a successful password change")</f>
        <v>Old password may remain usable after a successful password change</v>
      </c>
      <c r="F36" s="12" t="str">
        <f>IFERROR(__xludf.DUMMYFUNCTION("""COMPUTED_VALUE"""),"Password update may not be applied correctly")</f>
        <v>Password update may not be applied correctly</v>
      </c>
    </row>
    <row r="37">
      <c r="A37" s="12" t="str">
        <f>IFERROR(__xludf.DUMMYFUNCTION("""COMPUTED_VALUE"""),"RANK-R01")</f>
        <v>RANK-R01</v>
      </c>
      <c r="B37" s="12" t="str">
        <f>IFERROR(__xludf.DUMMYFUNCTION("""COMPUTED_VALUE"""),"Medium")</f>
        <v>Medium</v>
      </c>
      <c r="C37" s="12" t="str">
        <f>IFERROR(__xludf.DUMMYFUNCTION("""COMPUTED_VALUE"""),"High")</f>
        <v>High</v>
      </c>
      <c r="D37" s="12" t="str">
        <f>IFERROR(__xludf.DUMMYFUNCTION("""COMPUTED_VALUE"""),"High")</f>
        <v>High</v>
      </c>
      <c r="E37" s="12" t="str">
        <f>IFERROR(__xludf.DUMMYFUNCTION("""COMPUTED_VALUE"""),"Car rankings may not be sorted correctly according to vote count")</f>
        <v>Car rankings may not be sorted correctly according to vote count</v>
      </c>
      <c r="F37" s="12" t="str">
        <f>IFERROR(__xludf.DUMMYFUNCTION("""COMPUTED_VALUE"""),"Displayed ranking may not accurately represent the cars' vote totals")</f>
        <v>Displayed ranking may not accurately represent the cars' vote totals</v>
      </c>
    </row>
    <row r="38">
      <c r="A38" s="12" t="str">
        <f>IFERROR(__xludf.DUMMYFUNCTION("""COMPUTED_VALUE"""),"RANK-R03")</f>
        <v>RANK-R03</v>
      </c>
      <c r="B38" s="12" t="str">
        <f>IFERROR(__xludf.DUMMYFUNCTION("""COMPUTED_VALUE"""),"Medium")</f>
        <v>Medium</v>
      </c>
      <c r="C38" s="12" t="str">
        <f>IFERROR(__xludf.DUMMYFUNCTION("""COMPUTED_VALUE"""),"High")</f>
        <v>High</v>
      </c>
      <c r="D38" s="12" t="str">
        <f>IFERROR(__xludf.DUMMYFUNCTION("""COMPUTED_VALUE"""),"High")</f>
        <v>High</v>
      </c>
      <c r="E38" s="12" t="str">
        <f>IFERROR(__xludf.DUMMYFUNCTION("""COMPUTED_VALUE"""),"Vote count displayed in ranking pages may differ from the vote count on the corresponding Car Voting page")</f>
        <v>Vote count displayed in ranking pages may differ from the vote count on the corresponding Car Voting page</v>
      </c>
      <c r="F38" s="12" t="str">
        <f>IFERROR(__xludf.DUMMYFUNCTION("""COMPUTED_VALUE"""),"The same car may show inconsistent rating data across the application")</f>
        <v>The same car may show inconsistent rating data across the application</v>
      </c>
    </row>
    <row r="39">
      <c r="A39" s="12" t="str">
        <f>IFERROR(__xludf.DUMMYFUNCTION("""COMPUTED_VALUE"""),"RANK-R04")</f>
        <v>RANK-R04</v>
      </c>
      <c r="B39" s="12" t="str">
        <f>IFERROR(__xludf.DUMMYFUNCTION("""COMPUTED_VALUE"""),"Medium")</f>
        <v>Medium</v>
      </c>
      <c r="C39" s="12" t="str">
        <f>IFERROR(__xludf.DUMMYFUNCTION("""COMPUTED_VALUE"""),"High")</f>
        <v>High</v>
      </c>
      <c r="D39" s="12" t="str">
        <f>IFERROR(__xludf.DUMMYFUNCTION("""COMPUTED_VALUE"""),"High")</f>
        <v>High</v>
      </c>
      <c r="E39" s="12" t="str">
        <f>IFERROR(__xludf.DUMMYFUNCTION("""COMPUTED_VALUE"""),"Ranking may not update correctly after a new vote is submitted")</f>
        <v>Ranking may not update correctly after a new vote is submitted</v>
      </c>
      <c r="F39" s="12" t="str">
        <f>IFERROR(__xludf.DUMMYFUNCTION("""COMPUTED_VALUE"""),"Recently submitted votes may not be reflected in the displayed ranking")</f>
        <v>Recently submitted votes may not be reflected in the displayed ranking</v>
      </c>
    </row>
    <row r="40">
      <c r="A40" s="12" t="str">
        <f>IFERROR(__xludf.DUMMYFUNCTION("""COMPUTED_VALUE"""),"RANK-R05")</f>
        <v>RANK-R05</v>
      </c>
      <c r="B40" s="12" t="str">
        <f>IFERROR(__xludf.DUMMYFUNCTION("""COMPUTED_VALUE"""),"Medium")</f>
        <v>Medium</v>
      </c>
      <c r="C40" s="12" t="str">
        <f>IFERROR(__xludf.DUMMYFUNCTION("""COMPUTED_VALUE"""),"High")</f>
        <v>High</v>
      </c>
      <c r="D40" s="12" t="str">
        <f>IFERROR(__xludf.DUMMYFUNCTION("""COMPUTED_VALUE"""),"High")</f>
        <v>High</v>
      </c>
      <c r="E40" s="12" t="str">
        <f>IFERROR(__xludf.DUMMYFUNCTION("""COMPUTED_VALUE"""),"The same car may show different rank/vote information across Home, Popular Make and Overall Rating")</f>
        <v>The same car may show different rank/vote information across Home, Popular Make and Overall Rating</v>
      </c>
      <c r="F40" s="12" t="str">
        <f>IFERROR(__xludf.DUMMYFUNCTION("""COMPUTED_VALUE"""),"Users may receive contradictory rating information depending on the page viewed")</f>
        <v>Users may receive contradictory rating information depending on the page viewed</v>
      </c>
    </row>
    <row r="41">
      <c r="A41" s="12" t="str">
        <f>IFERROR(__xludf.DUMMYFUNCTION("""COMPUTED_VALUE"""),"SES-R01")</f>
        <v>SES-R01</v>
      </c>
      <c r="B41" s="12" t="str">
        <f>IFERROR(__xludf.DUMMYFUNCTION("""COMPUTED_VALUE"""),"Unknown")</f>
        <v>Unknown</v>
      </c>
      <c r="C41" s="12" t="str">
        <f>IFERROR(__xludf.DUMMYFUNCTION("""COMPUTED_VALUE"""),"High")</f>
        <v>High</v>
      </c>
      <c r="D41" s="12" t="str">
        <f>IFERROR(__xludf.DUMMYFUNCTION("""COMPUTED_VALUE"""),"High")</f>
        <v>High</v>
      </c>
      <c r="E41" s="12" t="str">
        <f>IFERROR(__xludf.DUMMYFUNCTION("""COMPUTED_VALUE"""),"Logout may not properly terminate the authenticated session")</f>
        <v>Logout may not properly terminate the authenticated session</v>
      </c>
      <c r="F41" s="12" t="str">
        <f>IFERROR(__xludf.DUMMYFUNCTION("""COMPUTED_VALUE"""),"User may remain authenticated after requesting logout")</f>
        <v>User may remain authenticated after requesting logout</v>
      </c>
    </row>
    <row r="42">
      <c r="A42" s="12" t="str">
        <f>IFERROR(__xludf.DUMMYFUNCTION("""COMPUTED_VALUE"""),"SES-R02")</f>
        <v>SES-R02</v>
      </c>
      <c r="B42" s="12" t="str">
        <f>IFERROR(__xludf.DUMMYFUNCTION("""COMPUTED_VALUE"""),"High")</f>
        <v>High</v>
      </c>
      <c r="C42" s="12" t="str">
        <f>IFERROR(__xludf.DUMMYFUNCTION("""COMPUTED_VALUE"""),"High")</f>
        <v>High</v>
      </c>
      <c r="D42" s="12" t="str">
        <f>IFERROR(__xludf.DUMMYFUNCTION("""COMPUTED_VALUE"""),"High")</f>
        <v>High</v>
      </c>
      <c r="E42" s="12" t="str">
        <f>IFERROR(__xludf.DUMMYFUNCTION("""COMPUTED_VALUE"""),"Protected user information may remain visible after logout")</f>
        <v>Protected user information may remain visible after logout</v>
      </c>
      <c r="F42" s="12" t="str">
        <f>IFERROR(__xludf.DUMMYFUNCTION("""COMPUTED_VALUE"""),"Sensitive account information may remain accessible after the session ends")</f>
        <v>Sensitive account information may remain accessible after the session ends</v>
      </c>
    </row>
    <row r="43">
      <c r="A43" s="12" t="str">
        <f>IFERROR(__xludf.DUMMYFUNCTION("""COMPUTED_VALUE"""),"SES-R03")</f>
        <v>SES-R03</v>
      </c>
      <c r="B43" s="12" t="str">
        <f>IFERROR(__xludf.DUMMYFUNCTION("""COMPUTED_VALUE"""),"Medium")</f>
        <v>Medium</v>
      </c>
      <c r="C43" s="12" t="str">
        <f>IFERROR(__xludf.DUMMYFUNCTION("""COMPUTED_VALUE"""),"High")</f>
        <v>High</v>
      </c>
      <c r="D43" s="12" t="str">
        <f>IFERROR(__xludf.DUMMYFUNCTION("""COMPUTED_VALUE"""),"High")</f>
        <v>High</v>
      </c>
      <c r="E43" s="12" t="str">
        <f>IFERROR(__xludf.DUMMYFUNCTION("""COMPUTED_VALUE"""),"User may still be able to perform authenticated actions after logout")</f>
        <v>User may still be able to perform authenticated actions after logout</v>
      </c>
      <c r="F43" s="12" t="str">
        <f>IFERROR(__xludf.DUMMYFUNCTION("""COMPUTED_VALUE"""),"Protected operations such as profile updates or voting could remain accessible")</f>
        <v>Protected operations such as profile updates or voting could remain accessible</v>
      </c>
    </row>
    <row r="44">
      <c r="A44" s="12" t="str">
        <f>IFERROR(__xludf.DUMMYFUNCTION("""COMPUTED_VALUE"""),"SES-R05")</f>
        <v>SES-R05</v>
      </c>
      <c r="B44" s="12" t="str">
        <f>IFERROR(__xludf.DUMMYFUNCTION("""COMPUTED_VALUE"""),"Medium")</f>
        <v>Medium</v>
      </c>
      <c r="C44" s="12" t="str">
        <f>IFERROR(__xludf.DUMMYFUNCTION("""COMPUTED_VALUE"""),"High")</f>
        <v>High</v>
      </c>
      <c r="D44" s="12" t="str">
        <f>IFERROR(__xludf.DUMMYFUNCTION("""COMPUTED_VALUE"""),"High")</f>
        <v>High</v>
      </c>
      <c r="E44" s="12" t="str">
        <f>IFERROR(__xludf.DUMMYFUNCTION("""COMPUTED_VALUE"""),"Refreshing or revisiting a protected page after logout may restore authenticated access")</f>
        <v>Refreshing or revisiting a protected page after logout may restore authenticated access</v>
      </c>
      <c r="F44" s="12" t="str">
        <f>IFERROR(__xludf.DUMMYFUNCTION("""COMPUTED_VALUE"""),"Session termination may not persist correctly")</f>
        <v>Session termination may not persist correctly</v>
      </c>
    </row>
  </sheetData>
  <mergeCells count="1">
    <mergeCell ref="A1:B1"/>
  </mergeCells>
  <dataValidations>
    <dataValidation type="list" allowBlank="1" showErrorMessage="1" sqref="B2">
      <formula1>"Low,Medium,High,Unknown,All"</formula1>
    </dataValidation>
    <dataValidation type="list" allowBlank="1" showErrorMessage="1" sqref="B3:B4">
      <formula1>"Low,Medium,High,Critical,ALL"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109.75"/>
    <col customWidth="1" min="4" max="4" width="23.88"/>
    <col customWidth="1" min="5" max="5" width="14.63"/>
    <col customWidth="1" min="6" max="6" width="18.13"/>
    <col customWidth="1" min="7" max="7" width="45.63"/>
  </cols>
  <sheetData>
    <row r="1">
      <c r="A1" s="1" t="s">
        <v>0</v>
      </c>
      <c r="B1" s="1" t="s">
        <v>3</v>
      </c>
      <c r="C1" s="1" t="s">
        <v>4</v>
      </c>
      <c r="D1" s="4"/>
      <c r="E1" s="4"/>
      <c r="F1" s="4"/>
      <c r="G1" s="4"/>
    </row>
    <row r="2" ht="22.5" customHeight="1">
      <c r="A2" s="6" t="s">
        <v>12</v>
      </c>
      <c r="B2" s="6" t="s">
        <v>15</v>
      </c>
      <c r="C2" s="6" t="s">
        <v>18</v>
      </c>
    </row>
    <row r="3" ht="22.5" customHeight="1">
      <c r="A3" s="6" t="s">
        <v>23</v>
      </c>
      <c r="B3" s="6" t="s">
        <v>24</v>
      </c>
      <c r="C3" s="6" t="s">
        <v>27</v>
      </c>
    </row>
    <row r="4" ht="22.5" customHeight="1">
      <c r="A4" s="6" t="s">
        <v>30</v>
      </c>
      <c r="B4" s="6" t="s">
        <v>32</v>
      </c>
      <c r="C4" s="6" t="s">
        <v>35</v>
      </c>
    </row>
    <row r="5" ht="22.5" customHeight="1">
      <c r="A5" s="6" t="s">
        <v>39</v>
      </c>
      <c r="B5" s="6" t="s">
        <v>40</v>
      </c>
      <c r="C5" s="6" t="s">
        <v>42</v>
      </c>
    </row>
    <row r="6" ht="22.5" customHeight="1">
      <c r="A6" s="6" t="s">
        <v>45</v>
      </c>
      <c r="B6" s="6" t="s">
        <v>47</v>
      </c>
      <c r="C6" s="6" t="s">
        <v>49</v>
      </c>
    </row>
    <row r="7" ht="22.5" customHeight="1">
      <c r="A7" s="6" t="s">
        <v>51</v>
      </c>
      <c r="B7" s="6" t="s">
        <v>53</v>
      </c>
      <c r="C7" s="6" t="s">
        <v>49</v>
      </c>
    </row>
    <row r="8" ht="22.5" customHeight="1">
      <c r="A8" s="6" t="s">
        <v>54</v>
      </c>
      <c r="B8" s="6" t="s">
        <v>55</v>
      </c>
      <c r="C8" s="6" t="s">
        <v>56</v>
      </c>
    </row>
    <row r="9" ht="22.5" customHeight="1">
      <c r="A9" s="6" t="s">
        <v>58</v>
      </c>
      <c r="B9" s="6" t="s">
        <v>60</v>
      </c>
      <c r="C9" s="6" t="s">
        <v>64</v>
      </c>
      <c r="D9" s="6"/>
      <c r="E9" s="6"/>
      <c r="F9" s="6"/>
      <c r="G9" s="6"/>
    </row>
    <row r="12">
      <c r="A12" s="4"/>
      <c r="B12" s="4"/>
      <c r="C12" s="4"/>
      <c r="D1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63"/>
    <col customWidth="1" min="3" max="3" width="56.25"/>
    <col customWidth="1" min="4" max="4" width="13.63"/>
    <col customWidth="1" min="5" max="5" width="14.75"/>
  </cols>
  <sheetData>
    <row r="1">
      <c r="A1" s="1" t="s">
        <v>1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10</v>
      </c>
    </row>
    <row r="2" ht="21.75" customHeight="1">
      <c r="A2" s="6" t="s">
        <v>11</v>
      </c>
      <c r="B2" s="6" t="s">
        <v>14</v>
      </c>
      <c r="C2" s="6" t="s">
        <v>17</v>
      </c>
      <c r="D2" s="6" t="s">
        <v>19</v>
      </c>
      <c r="E2" s="6" t="s">
        <v>21</v>
      </c>
      <c r="F2" s="6" t="s">
        <v>21</v>
      </c>
    </row>
    <row r="3" ht="21.75" customHeight="1">
      <c r="A3" s="6" t="s">
        <v>25</v>
      </c>
      <c r="B3" s="6" t="s">
        <v>26</v>
      </c>
      <c r="C3" s="6" t="s">
        <v>28</v>
      </c>
      <c r="D3" s="6" t="s">
        <v>19</v>
      </c>
      <c r="E3" s="6" t="s">
        <v>21</v>
      </c>
      <c r="F3" s="6" t="s">
        <v>21</v>
      </c>
    </row>
    <row r="4" ht="21.75" customHeight="1">
      <c r="A4" s="6" t="s">
        <v>31</v>
      </c>
      <c r="B4" s="6" t="s">
        <v>34</v>
      </c>
      <c r="C4" s="6" t="s">
        <v>37</v>
      </c>
      <c r="D4" s="6" t="s">
        <v>38</v>
      </c>
      <c r="E4" s="6" t="s">
        <v>21</v>
      </c>
      <c r="F4" s="6" t="s">
        <v>41</v>
      </c>
    </row>
    <row r="5" ht="21.75" customHeight="1">
      <c r="A5" s="6" t="s">
        <v>43</v>
      </c>
      <c r="B5" s="6" t="s">
        <v>46</v>
      </c>
      <c r="C5" s="6" t="s">
        <v>48</v>
      </c>
      <c r="D5" s="6" t="s">
        <v>22</v>
      </c>
      <c r="E5" s="6" t="s">
        <v>21</v>
      </c>
      <c r="F5" s="6" t="s">
        <v>21</v>
      </c>
    </row>
    <row r="6" ht="21.75" customHeight="1">
      <c r="A6" s="6" t="s">
        <v>59</v>
      </c>
      <c r="B6" s="6" t="s">
        <v>61</v>
      </c>
      <c r="C6" s="6" t="s">
        <v>63</v>
      </c>
      <c r="D6" s="6" t="s">
        <v>22</v>
      </c>
      <c r="E6" s="6" t="s">
        <v>22</v>
      </c>
      <c r="F6" s="6" t="s">
        <v>22</v>
      </c>
    </row>
    <row r="7" ht="21.75" customHeight="1">
      <c r="A7" s="6" t="s">
        <v>66</v>
      </c>
      <c r="B7" s="6" t="s">
        <v>67</v>
      </c>
      <c r="C7" s="6" t="s">
        <v>68</v>
      </c>
      <c r="D7" s="6" t="s">
        <v>21</v>
      </c>
      <c r="E7" s="6" t="s">
        <v>22</v>
      </c>
      <c r="F7" s="6" t="s">
        <v>22</v>
      </c>
    </row>
    <row r="12">
      <c r="B12" s="4"/>
      <c r="C12" s="4"/>
      <c r="D12" s="4"/>
      <c r="E1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38"/>
    <col customWidth="1" min="3" max="3" width="79.38"/>
    <col customWidth="1" min="10" max="10" width="39.63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3" t="s">
        <v>10</v>
      </c>
      <c r="F1" s="3" t="s">
        <v>9</v>
      </c>
    </row>
    <row r="2" ht="19.5" customHeight="1">
      <c r="A2" s="6" t="s">
        <v>13</v>
      </c>
      <c r="B2" s="6" t="s">
        <v>16</v>
      </c>
      <c r="C2" s="6" t="s">
        <v>20</v>
      </c>
      <c r="D2" s="6" t="s">
        <v>22</v>
      </c>
      <c r="E2" s="6" t="s">
        <v>22</v>
      </c>
      <c r="F2" s="6" t="s">
        <v>22</v>
      </c>
    </row>
    <row r="3" ht="19.5" customHeight="1">
      <c r="A3" s="6" t="s">
        <v>29</v>
      </c>
      <c r="B3" s="6" t="s">
        <v>33</v>
      </c>
      <c r="C3" s="6" t="s">
        <v>36</v>
      </c>
      <c r="D3" s="6" t="s">
        <v>22</v>
      </c>
      <c r="E3" s="6" t="s">
        <v>22</v>
      </c>
      <c r="F3" s="6" t="s">
        <v>22</v>
      </c>
    </row>
    <row r="4" ht="19.5" customHeight="1">
      <c r="A4" s="6" t="s">
        <v>44</v>
      </c>
      <c r="B4" s="6" t="s">
        <v>50</v>
      </c>
      <c r="C4" s="6" t="s">
        <v>52</v>
      </c>
      <c r="D4" s="6" t="s">
        <v>38</v>
      </c>
      <c r="E4" s="6" t="s">
        <v>21</v>
      </c>
      <c r="F4" s="6" t="s">
        <v>21</v>
      </c>
    </row>
    <row r="5" ht="19.5" customHeight="1">
      <c r="A5" s="6" t="s">
        <v>57</v>
      </c>
      <c r="B5" s="6" t="s">
        <v>62</v>
      </c>
      <c r="C5" s="6" t="s">
        <v>65</v>
      </c>
      <c r="D5" s="6" t="s">
        <v>22</v>
      </c>
      <c r="E5" s="6" t="s">
        <v>21</v>
      </c>
      <c r="F5" s="6" t="s">
        <v>21</v>
      </c>
    </row>
    <row r="6" ht="19.5" customHeight="1">
      <c r="A6" s="6" t="s">
        <v>69</v>
      </c>
      <c r="B6" s="6" t="s">
        <v>70</v>
      </c>
      <c r="C6" s="6" t="s">
        <v>36</v>
      </c>
      <c r="D6" s="6" t="s">
        <v>22</v>
      </c>
      <c r="E6" s="6" t="s">
        <v>21</v>
      </c>
      <c r="F6" s="6" t="s">
        <v>21</v>
      </c>
    </row>
    <row r="7" ht="19.5" customHeight="1">
      <c r="A7" s="6" t="s">
        <v>71</v>
      </c>
      <c r="B7" s="6" t="s">
        <v>72</v>
      </c>
      <c r="C7" s="6" t="s">
        <v>73</v>
      </c>
      <c r="D7" s="6" t="s">
        <v>38</v>
      </c>
      <c r="E7" s="6" t="s">
        <v>21</v>
      </c>
      <c r="F7" s="6" t="s">
        <v>21</v>
      </c>
    </row>
    <row r="8" ht="19.5" customHeight="1">
      <c r="A8" s="6" t="s">
        <v>74</v>
      </c>
      <c r="B8" s="6" t="s">
        <v>75</v>
      </c>
      <c r="C8" s="6" t="s">
        <v>76</v>
      </c>
      <c r="D8" s="6" t="s">
        <v>22</v>
      </c>
      <c r="E8" s="6" t="s">
        <v>22</v>
      </c>
      <c r="F8" s="6" t="s">
        <v>22</v>
      </c>
    </row>
    <row r="9" ht="19.5" customHeight="1">
      <c r="A9" s="6" t="s">
        <v>77</v>
      </c>
      <c r="B9" s="6" t="s">
        <v>78</v>
      </c>
      <c r="C9" s="6" t="s">
        <v>79</v>
      </c>
      <c r="D9" s="6" t="s">
        <v>22</v>
      </c>
      <c r="E9" s="6" t="s">
        <v>21</v>
      </c>
      <c r="F9" s="6" t="s">
        <v>21</v>
      </c>
    </row>
    <row r="10" ht="19.5" customHeight="1">
      <c r="A10" s="6" t="s">
        <v>80</v>
      </c>
      <c r="B10" s="6" t="s">
        <v>81</v>
      </c>
      <c r="C10" s="6" t="s">
        <v>82</v>
      </c>
      <c r="D10" s="6" t="s">
        <v>38</v>
      </c>
      <c r="E10" s="6" t="s">
        <v>21</v>
      </c>
      <c r="F10" s="6" t="s">
        <v>21</v>
      </c>
    </row>
    <row r="11" ht="19.5" customHeight="1">
      <c r="A11" s="6" t="s">
        <v>84</v>
      </c>
      <c r="B11" s="6" t="s">
        <v>85</v>
      </c>
      <c r="C11" s="6" t="s">
        <v>86</v>
      </c>
      <c r="D11" s="6" t="s">
        <v>22</v>
      </c>
      <c r="E11" s="6" t="s">
        <v>22</v>
      </c>
      <c r="F11" s="6" t="s">
        <v>22</v>
      </c>
    </row>
    <row r="12" ht="19.5" customHeight="1">
      <c r="A12" s="6" t="s">
        <v>89</v>
      </c>
      <c r="B12" s="6" t="s">
        <v>91</v>
      </c>
      <c r="C12" s="6" t="s">
        <v>92</v>
      </c>
      <c r="D12" s="6" t="s">
        <v>22</v>
      </c>
      <c r="E12" s="6" t="s">
        <v>21</v>
      </c>
      <c r="F12" s="6" t="s">
        <v>21</v>
      </c>
    </row>
    <row r="13" ht="19.5" customHeight="1">
      <c r="A13" s="6" t="s">
        <v>93</v>
      </c>
      <c r="B13" s="6" t="s">
        <v>94</v>
      </c>
      <c r="C13" s="6" t="s">
        <v>95</v>
      </c>
      <c r="D13" s="6" t="s">
        <v>19</v>
      </c>
      <c r="E13" s="6" t="s">
        <v>21</v>
      </c>
      <c r="F13" s="6" t="s">
        <v>21</v>
      </c>
    </row>
    <row r="16">
      <c r="A16" s="4"/>
      <c r="B16" s="4"/>
      <c r="C16" s="4"/>
      <c r="D16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  <col customWidth="1" min="3" max="3" width="87.75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3" t="s">
        <v>10</v>
      </c>
      <c r="F1" s="3" t="s">
        <v>9</v>
      </c>
    </row>
    <row r="2" ht="22.5" customHeight="1">
      <c r="A2" s="6" t="s">
        <v>107</v>
      </c>
      <c r="B2" s="6" t="s">
        <v>108</v>
      </c>
      <c r="C2" s="6" t="s">
        <v>109</v>
      </c>
      <c r="D2" s="6" t="s">
        <v>22</v>
      </c>
      <c r="E2" s="6" t="s">
        <v>22</v>
      </c>
      <c r="F2" s="6" t="s">
        <v>22</v>
      </c>
    </row>
    <row r="3" ht="22.5" customHeight="1">
      <c r="A3" s="6" t="s">
        <v>110</v>
      </c>
      <c r="B3" s="6" t="s">
        <v>111</v>
      </c>
      <c r="C3" s="6" t="s">
        <v>112</v>
      </c>
      <c r="D3" s="6" t="s">
        <v>22</v>
      </c>
      <c r="E3" s="6" t="s">
        <v>21</v>
      </c>
      <c r="F3" s="6" t="s">
        <v>21</v>
      </c>
    </row>
    <row r="4" ht="22.5" customHeight="1">
      <c r="A4" s="6" t="s">
        <v>113</v>
      </c>
      <c r="B4" s="6" t="s">
        <v>114</v>
      </c>
      <c r="C4" s="6" t="s">
        <v>115</v>
      </c>
      <c r="D4" s="6" t="s">
        <v>22</v>
      </c>
      <c r="E4" s="6" t="s">
        <v>21</v>
      </c>
      <c r="F4" s="6" t="s">
        <v>21</v>
      </c>
    </row>
    <row r="5" ht="22.5" customHeight="1">
      <c r="A5" s="6" t="s">
        <v>116</v>
      </c>
      <c r="B5" s="6" t="s">
        <v>117</v>
      </c>
      <c r="C5" s="6" t="s">
        <v>118</v>
      </c>
      <c r="D5" s="6" t="s">
        <v>22</v>
      </c>
      <c r="E5" s="6" t="s">
        <v>22</v>
      </c>
      <c r="F5" s="6" t="s">
        <v>22</v>
      </c>
    </row>
    <row r="6" ht="22.5" customHeight="1">
      <c r="A6" s="6" t="s">
        <v>119</v>
      </c>
      <c r="B6" s="6" t="s">
        <v>120</v>
      </c>
      <c r="C6" s="6" t="s">
        <v>121</v>
      </c>
      <c r="D6" s="6" t="s">
        <v>22</v>
      </c>
      <c r="E6" s="6" t="s">
        <v>22</v>
      </c>
      <c r="F6" s="6" t="s">
        <v>22</v>
      </c>
    </row>
    <row r="7" ht="22.5" customHeight="1">
      <c r="A7" s="6" t="s">
        <v>122</v>
      </c>
      <c r="B7" s="6" t="s">
        <v>123</v>
      </c>
      <c r="C7" s="6" t="s">
        <v>124</v>
      </c>
      <c r="D7" s="6" t="s">
        <v>22</v>
      </c>
      <c r="E7" s="6" t="s">
        <v>21</v>
      </c>
      <c r="F7" s="6" t="s">
        <v>21</v>
      </c>
    </row>
    <row r="10">
      <c r="A10" s="4"/>
      <c r="B10" s="4"/>
      <c r="C10" s="4"/>
      <c r="D1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5"/>
    <col customWidth="1" min="3" max="3" width="68.38"/>
  </cols>
  <sheetData>
    <row r="1">
      <c r="A1" s="1" t="s">
        <v>1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9</v>
      </c>
    </row>
    <row r="2" ht="24.75" customHeight="1">
      <c r="A2" s="6" t="s">
        <v>125</v>
      </c>
      <c r="B2" s="6" t="s">
        <v>126</v>
      </c>
      <c r="C2" s="6" t="s">
        <v>127</v>
      </c>
      <c r="D2" s="6" t="s">
        <v>38</v>
      </c>
      <c r="E2" s="6" t="s">
        <v>21</v>
      </c>
      <c r="F2" s="6" t="s">
        <v>21</v>
      </c>
    </row>
    <row r="3" ht="24.75" customHeight="1">
      <c r="A3" s="6" t="s">
        <v>128</v>
      </c>
      <c r="B3" s="6" t="s">
        <v>129</v>
      </c>
      <c r="C3" s="6" t="s">
        <v>130</v>
      </c>
      <c r="D3" s="6" t="s">
        <v>38</v>
      </c>
      <c r="E3" s="6" t="s">
        <v>21</v>
      </c>
      <c r="F3" s="6" t="s">
        <v>21</v>
      </c>
    </row>
    <row r="4" ht="24.75" customHeight="1">
      <c r="A4" s="6" t="s">
        <v>131</v>
      </c>
      <c r="B4" s="6" t="s">
        <v>132</v>
      </c>
      <c r="C4" s="6" t="s">
        <v>133</v>
      </c>
      <c r="D4" s="6" t="s">
        <v>21</v>
      </c>
      <c r="E4" s="6" t="s">
        <v>21</v>
      </c>
      <c r="F4" s="6" t="s">
        <v>21</v>
      </c>
    </row>
    <row r="5" ht="24.75" customHeight="1">
      <c r="A5" s="6" t="s">
        <v>134</v>
      </c>
      <c r="B5" s="6" t="s">
        <v>135</v>
      </c>
      <c r="C5" s="6" t="s">
        <v>136</v>
      </c>
      <c r="D5" s="6" t="s">
        <v>21</v>
      </c>
      <c r="E5" s="6" t="s">
        <v>21</v>
      </c>
      <c r="F5" s="6" t="s">
        <v>21</v>
      </c>
    </row>
    <row r="6" ht="24.75" customHeight="1">
      <c r="A6" s="6" t="s">
        <v>137</v>
      </c>
      <c r="B6" s="6" t="s">
        <v>138</v>
      </c>
      <c r="C6" s="6" t="s">
        <v>139</v>
      </c>
      <c r="D6" s="6" t="s">
        <v>22</v>
      </c>
      <c r="E6" s="6" t="s">
        <v>21</v>
      </c>
      <c r="F6" s="6" t="s">
        <v>21</v>
      </c>
    </row>
    <row r="7" ht="24.75" customHeight="1">
      <c r="A7" s="6" t="s">
        <v>140</v>
      </c>
      <c r="B7" s="6" t="s">
        <v>141</v>
      </c>
      <c r="C7" s="6" t="s">
        <v>142</v>
      </c>
      <c r="D7" s="6" t="s">
        <v>22</v>
      </c>
      <c r="E7" s="6" t="s">
        <v>22</v>
      </c>
      <c r="F7" s="6" t="s">
        <v>22</v>
      </c>
    </row>
    <row r="8" ht="24.75" customHeight="1">
      <c r="A8" s="6" t="s">
        <v>143</v>
      </c>
      <c r="B8" s="6" t="s">
        <v>144</v>
      </c>
      <c r="C8" s="6" t="s">
        <v>145</v>
      </c>
      <c r="D8" s="6" t="s">
        <v>22</v>
      </c>
      <c r="E8" s="6" t="s">
        <v>22</v>
      </c>
      <c r="F8" s="6" t="s">
        <v>22</v>
      </c>
    </row>
    <row r="9" ht="24.75" customHeight="1">
      <c r="A9" s="6" t="s">
        <v>146</v>
      </c>
      <c r="B9" s="6" t="s">
        <v>147</v>
      </c>
      <c r="C9" s="6" t="s">
        <v>148</v>
      </c>
      <c r="D9" s="6" t="s">
        <v>22</v>
      </c>
      <c r="E9" s="6" t="s">
        <v>21</v>
      </c>
      <c r="F9" s="6" t="s">
        <v>21</v>
      </c>
    </row>
    <row r="10" ht="24.75" customHeight="1">
      <c r="A10" s="6" t="s">
        <v>149</v>
      </c>
      <c r="B10" s="6" t="s">
        <v>150</v>
      </c>
      <c r="C10" s="6" t="s">
        <v>151</v>
      </c>
      <c r="D10" s="6" t="s">
        <v>22</v>
      </c>
      <c r="E10" s="6" t="s">
        <v>22</v>
      </c>
      <c r="F10" s="6" t="s">
        <v>22</v>
      </c>
    </row>
    <row r="11" ht="24.75" customHeight="1">
      <c r="A11" s="6" t="s">
        <v>152</v>
      </c>
      <c r="B11" s="6" t="s">
        <v>153</v>
      </c>
      <c r="C11" s="6" t="s">
        <v>154</v>
      </c>
      <c r="D11" s="6" t="s">
        <v>22</v>
      </c>
      <c r="E11" s="6" t="s">
        <v>22</v>
      </c>
      <c r="F11" s="6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0"/>
    <col customWidth="1" min="3" max="3" width="64.63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3" t="s">
        <v>10</v>
      </c>
      <c r="F1" s="3" t="s">
        <v>9</v>
      </c>
    </row>
    <row r="2" ht="21.75" customHeight="1">
      <c r="A2" s="6" t="s">
        <v>155</v>
      </c>
      <c r="B2" s="6" t="s">
        <v>156</v>
      </c>
      <c r="C2" s="6" t="s">
        <v>157</v>
      </c>
      <c r="D2" s="6" t="s">
        <v>22</v>
      </c>
      <c r="E2" s="6" t="s">
        <v>22</v>
      </c>
      <c r="F2" s="6" t="s">
        <v>22</v>
      </c>
    </row>
    <row r="3" ht="21.75" customHeight="1">
      <c r="A3" s="6" t="s">
        <v>158</v>
      </c>
      <c r="B3" s="6" t="s">
        <v>159</v>
      </c>
      <c r="C3" s="6" t="s">
        <v>160</v>
      </c>
      <c r="D3" s="6" t="s">
        <v>22</v>
      </c>
      <c r="E3" s="6" t="s">
        <v>22</v>
      </c>
      <c r="F3" s="6" t="s">
        <v>22</v>
      </c>
    </row>
    <row r="4" ht="21.75" customHeight="1">
      <c r="A4" s="6" t="s">
        <v>161</v>
      </c>
      <c r="B4" s="6" t="s">
        <v>162</v>
      </c>
      <c r="C4" s="6" t="s">
        <v>163</v>
      </c>
      <c r="D4" s="6" t="s">
        <v>22</v>
      </c>
      <c r="E4" s="6" t="s">
        <v>19</v>
      </c>
      <c r="F4" s="6" t="s">
        <v>19</v>
      </c>
    </row>
    <row r="5" ht="21.75" customHeight="1">
      <c r="A5" s="6" t="s">
        <v>164</v>
      </c>
      <c r="B5" s="6" t="s">
        <v>165</v>
      </c>
      <c r="C5" s="6" t="s">
        <v>166</v>
      </c>
      <c r="D5" s="6" t="s">
        <v>22</v>
      </c>
      <c r="E5" s="6" t="s">
        <v>22</v>
      </c>
      <c r="F5" s="6" t="s">
        <v>22</v>
      </c>
    </row>
    <row r="6" ht="21.75" customHeight="1">
      <c r="A6" s="6" t="s">
        <v>167</v>
      </c>
      <c r="B6" s="6" t="s">
        <v>168</v>
      </c>
      <c r="C6" s="6" t="s">
        <v>169</v>
      </c>
      <c r="D6" s="6" t="s">
        <v>19</v>
      </c>
      <c r="E6" s="6" t="s">
        <v>22</v>
      </c>
      <c r="F6" s="6" t="s">
        <v>19</v>
      </c>
    </row>
    <row r="7" ht="21.75" customHeight="1">
      <c r="A7" s="6" t="s">
        <v>170</v>
      </c>
      <c r="B7" s="6" t="s">
        <v>171</v>
      </c>
      <c r="C7" s="6" t="s">
        <v>172</v>
      </c>
      <c r="D7" s="6" t="s">
        <v>22</v>
      </c>
      <c r="E7" s="6" t="s">
        <v>22</v>
      </c>
      <c r="F7" s="6" t="s">
        <v>22</v>
      </c>
    </row>
    <row r="8" ht="21.75" customHeight="1">
      <c r="A8" s="6" t="s">
        <v>173</v>
      </c>
      <c r="B8" s="6" t="s">
        <v>174</v>
      </c>
      <c r="C8" s="6" t="s">
        <v>175</v>
      </c>
      <c r="D8" s="6" t="s">
        <v>19</v>
      </c>
      <c r="E8" s="6" t="s">
        <v>22</v>
      </c>
      <c r="F8" s="6" t="s">
        <v>19</v>
      </c>
    </row>
    <row r="9" ht="21.75" customHeight="1">
      <c r="A9" s="6" t="s">
        <v>176</v>
      </c>
      <c r="B9" s="6" t="s">
        <v>177</v>
      </c>
      <c r="C9" s="6" t="s">
        <v>178</v>
      </c>
      <c r="D9" s="6" t="s">
        <v>22</v>
      </c>
      <c r="E9" s="6" t="s">
        <v>22</v>
      </c>
      <c r="F9" s="6" t="s">
        <v>22</v>
      </c>
    </row>
    <row r="10" ht="21.75" customHeight="1">
      <c r="A10" s="6" t="s">
        <v>179</v>
      </c>
      <c r="B10" s="6" t="s">
        <v>180</v>
      </c>
      <c r="C10" s="6" t="s">
        <v>181</v>
      </c>
      <c r="D10" s="6" t="s">
        <v>19</v>
      </c>
      <c r="E10" s="6" t="s">
        <v>21</v>
      </c>
      <c r="F10" s="6" t="s">
        <v>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88"/>
    <col customWidth="1" min="3" max="3" width="75.75"/>
  </cols>
  <sheetData>
    <row r="1">
      <c r="A1" s="1" t="s">
        <v>1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9</v>
      </c>
    </row>
    <row r="2" ht="20.25" customHeight="1">
      <c r="A2" s="6" t="s">
        <v>182</v>
      </c>
      <c r="B2" s="6" t="s">
        <v>183</v>
      </c>
      <c r="C2" s="6" t="s">
        <v>184</v>
      </c>
      <c r="D2" s="6" t="s">
        <v>38</v>
      </c>
      <c r="E2" s="6" t="s">
        <v>21</v>
      </c>
      <c r="F2" s="6" t="s">
        <v>21</v>
      </c>
    </row>
    <row r="3" ht="20.25" customHeight="1">
      <c r="A3" s="6" t="s">
        <v>185</v>
      </c>
      <c r="B3" s="6" t="s">
        <v>186</v>
      </c>
      <c r="C3" s="6" t="s">
        <v>187</v>
      </c>
      <c r="D3" s="6" t="s">
        <v>22</v>
      </c>
      <c r="E3" s="6" t="s">
        <v>21</v>
      </c>
      <c r="F3" s="6" t="s">
        <v>21</v>
      </c>
    </row>
    <row r="4" ht="20.25" customHeight="1">
      <c r="A4" s="6" t="s">
        <v>188</v>
      </c>
      <c r="B4" s="6" t="s">
        <v>189</v>
      </c>
      <c r="C4" s="6" t="s">
        <v>190</v>
      </c>
      <c r="D4" s="6" t="s">
        <v>22</v>
      </c>
      <c r="E4" s="6" t="s">
        <v>21</v>
      </c>
      <c r="F4" s="6" t="s">
        <v>21</v>
      </c>
    </row>
    <row r="5" ht="20.25" customHeight="1">
      <c r="A5" s="6" t="s">
        <v>191</v>
      </c>
      <c r="B5" s="6" t="s">
        <v>75</v>
      </c>
      <c r="C5" s="6" t="s">
        <v>192</v>
      </c>
      <c r="D5" s="6" t="s">
        <v>22</v>
      </c>
      <c r="E5" s="6" t="s">
        <v>22</v>
      </c>
      <c r="F5" s="6" t="s">
        <v>22</v>
      </c>
    </row>
    <row r="6" ht="20.25" customHeight="1">
      <c r="A6" s="6" t="s">
        <v>193</v>
      </c>
      <c r="B6" s="6" t="s">
        <v>194</v>
      </c>
      <c r="C6" s="6" t="s">
        <v>195</v>
      </c>
      <c r="D6" s="6" t="s">
        <v>22</v>
      </c>
      <c r="E6" s="6" t="s">
        <v>21</v>
      </c>
      <c r="F6" s="6" t="s">
        <v>21</v>
      </c>
    </row>
    <row r="7" ht="20.25" customHeight="1">
      <c r="A7" s="6" t="s">
        <v>196</v>
      </c>
      <c r="B7" s="6" t="s">
        <v>197</v>
      </c>
      <c r="C7" s="6" t="s">
        <v>198</v>
      </c>
      <c r="D7" s="6" t="s">
        <v>22</v>
      </c>
      <c r="E7" s="6" t="s">
        <v>22</v>
      </c>
      <c r="F7" s="6" t="s">
        <v>22</v>
      </c>
    </row>
    <row r="8" ht="20.25" customHeight="1">
      <c r="A8" s="6" t="s">
        <v>199</v>
      </c>
      <c r="B8" s="6" t="s">
        <v>200</v>
      </c>
      <c r="C8" s="6" t="s">
        <v>201</v>
      </c>
      <c r="D8" s="6" t="s">
        <v>22</v>
      </c>
      <c r="E8" s="6" t="s">
        <v>21</v>
      </c>
      <c r="F8" s="6" t="s">
        <v>21</v>
      </c>
    </row>
    <row r="9" ht="20.25" customHeight="1">
      <c r="A9" s="6" t="s">
        <v>202</v>
      </c>
      <c r="B9" s="6" t="s">
        <v>203</v>
      </c>
      <c r="C9" s="6" t="s">
        <v>204</v>
      </c>
      <c r="D9" s="6" t="s">
        <v>22</v>
      </c>
      <c r="E9" s="6" t="s">
        <v>21</v>
      </c>
      <c r="F9" s="6" t="s">
        <v>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38"/>
    <col customWidth="1" min="3" max="3" width="64.13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3" t="s">
        <v>10</v>
      </c>
      <c r="F1" s="3" t="s">
        <v>9</v>
      </c>
    </row>
    <row r="2" ht="24.75" customHeight="1">
      <c r="A2" s="6" t="s">
        <v>205</v>
      </c>
      <c r="B2" s="6" t="s">
        <v>206</v>
      </c>
      <c r="C2" s="6" t="s">
        <v>207</v>
      </c>
      <c r="D2" s="6" t="s">
        <v>22</v>
      </c>
      <c r="E2" s="6" t="s">
        <v>21</v>
      </c>
      <c r="F2" s="6" t="s">
        <v>21</v>
      </c>
    </row>
    <row r="3" ht="24.75" customHeight="1">
      <c r="A3" s="6" t="s">
        <v>208</v>
      </c>
      <c r="B3" s="6" t="s">
        <v>209</v>
      </c>
      <c r="C3" s="6" t="s">
        <v>210</v>
      </c>
      <c r="D3" s="6" t="s">
        <v>22</v>
      </c>
      <c r="E3" s="6" t="s">
        <v>22</v>
      </c>
      <c r="F3" s="6" t="s">
        <v>22</v>
      </c>
    </row>
    <row r="4" ht="24.75" customHeight="1">
      <c r="A4" s="6" t="s">
        <v>211</v>
      </c>
      <c r="B4" s="6" t="s">
        <v>212</v>
      </c>
      <c r="C4" s="6" t="s">
        <v>213</v>
      </c>
      <c r="D4" s="6" t="s">
        <v>22</v>
      </c>
      <c r="E4" s="6" t="s">
        <v>21</v>
      </c>
      <c r="F4" s="6" t="s">
        <v>21</v>
      </c>
    </row>
    <row r="5" ht="24.75" customHeight="1">
      <c r="A5" s="6" t="s">
        <v>214</v>
      </c>
      <c r="B5" s="6" t="s">
        <v>215</v>
      </c>
      <c r="C5" s="6" t="s">
        <v>216</v>
      </c>
      <c r="D5" s="6" t="s">
        <v>22</v>
      </c>
      <c r="E5" s="6" t="s">
        <v>21</v>
      </c>
      <c r="F5" s="6" t="s">
        <v>21</v>
      </c>
    </row>
    <row r="6" ht="24.75" customHeight="1">
      <c r="A6" s="6" t="s">
        <v>217</v>
      </c>
      <c r="B6" s="6" t="s">
        <v>218</v>
      </c>
      <c r="C6" s="6" t="s">
        <v>219</v>
      </c>
      <c r="D6" s="6" t="s">
        <v>22</v>
      </c>
      <c r="E6" s="6" t="s">
        <v>21</v>
      </c>
      <c r="F6" s="6" t="s">
        <v>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5"/>
    <col customWidth="1" min="3" max="3" width="66.0"/>
  </cols>
  <sheetData>
    <row r="1">
      <c r="A1" s="1" t="s">
        <v>1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9</v>
      </c>
    </row>
    <row r="2" ht="18.75" customHeight="1">
      <c r="A2" s="6" t="s">
        <v>220</v>
      </c>
      <c r="B2" s="6" t="s">
        <v>221</v>
      </c>
      <c r="C2" s="6" t="s">
        <v>222</v>
      </c>
      <c r="D2" s="6" t="s">
        <v>38</v>
      </c>
      <c r="E2" s="6" t="s">
        <v>21</v>
      </c>
      <c r="F2" s="6" t="s">
        <v>21</v>
      </c>
    </row>
    <row r="3" ht="18.75" customHeight="1">
      <c r="A3" s="6" t="s">
        <v>223</v>
      </c>
      <c r="B3" s="6" t="s">
        <v>224</v>
      </c>
      <c r="C3" s="6" t="s">
        <v>225</v>
      </c>
      <c r="D3" s="6" t="s">
        <v>21</v>
      </c>
      <c r="E3" s="6" t="s">
        <v>21</v>
      </c>
      <c r="F3" s="6" t="s">
        <v>21</v>
      </c>
    </row>
    <row r="4" ht="18.75" customHeight="1">
      <c r="A4" s="6" t="s">
        <v>226</v>
      </c>
      <c r="B4" s="6" t="s">
        <v>227</v>
      </c>
      <c r="C4" s="6" t="s">
        <v>228</v>
      </c>
      <c r="D4" s="6" t="s">
        <v>22</v>
      </c>
      <c r="E4" s="6" t="s">
        <v>21</v>
      </c>
      <c r="F4" s="6" t="s">
        <v>21</v>
      </c>
    </row>
    <row r="5" ht="18.75" customHeight="1">
      <c r="A5" s="6" t="s">
        <v>229</v>
      </c>
      <c r="B5" s="6" t="s">
        <v>230</v>
      </c>
      <c r="C5" s="6" t="s">
        <v>231</v>
      </c>
      <c r="D5" s="6" t="s">
        <v>21</v>
      </c>
      <c r="E5" s="6" t="s">
        <v>22</v>
      </c>
      <c r="F5" s="6" t="s">
        <v>21</v>
      </c>
    </row>
    <row r="6" ht="18.75" customHeight="1">
      <c r="A6" s="6" t="s">
        <v>232</v>
      </c>
      <c r="B6" s="6" t="s">
        <v>233</v>
      </c>
      <c r="C6" s="6" t="s">
        <v>234</v>
      </c>
      <c r="D6" s="6" t="s">
        <v>22</v>
      </c>
      <c r="E6" s="6" t="s">
        <v>21</v>
      </c>
      <c r="F6" s="6" t="s">
        <v>21</v>
      </c>
    </row>
    <row r="7" ht="18.75" customHeight="1">
      <c r="A7" s="6" t="s">
        <v>235</v>
      </c>
      <c r="B7" s="6" t="s">
        <v>236</v>
      </c>
      <c r="C7" s="6" t="s">
        <v>237</v>
      </c>
      <c r="D7" s="6" t="s">
        <v>22</v>
      </c>
      <c r="E7" s="6" t="s">
        <v>22</v>
      </c>
      <c r="F7" s="6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</cols>
  <sheetData>
    <row r="1">
      <c r="A1" s="1" t="s">
        <v>1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10</v>
      </c>
    </row>
    <row r="2">
      <c r="A2" s="6" t="s">
        <v>11</v>
      </c>
      <c r="B2" s="6" t="s">
        <v>14</v>
      </c>
      <c r="C2" s="6" t="s">
        <v>17</v>
      </c>
      <c r="D2" s="6" t="s">
        <v>19</v>
      </c>
      <c r="E2" s="6" t="s">
        <v>21</v>
      </c>
      <c r="F2" s="6" t="s">
        <v>21</v>
      </c>
    </row>
    <row r="3">
      <c r="A3" s="6" t="s">
        <v>25</v>
      </c>
      <c r="B3" s="6" t="s">
        <v>26</v>
      </c>
      <c r="C3" s="6" t="s">
        <v>28</v>
      </c>
      <c r="D3" s="6" t="s">
        <v>19</v>
      </c>
      <c r="E3" s="6" t="s">
        <v>21</v>
      </c>
      <c r="F3" s="6" t="s">
        <v>21</v>
      </c>
    </row>
    <row r="4">
      <c r="A4" s="6" t="s">
        <v>31</v>
      </c>
      <c r="B4" s="6" t="s">
        <v>34</v>
      </c>
      <c r="C4" s="6" t="s">
        <v>37</v>
      </c>
      <c r="D4" s="6" t="s">
        <v>38</v>
      </c>
      <c r="E4" s="6" t="s">
        <v>21</v>
      </c>
      <c r="F4" s="6" t="s">
        <v>41</v>
      </c>
    </row>
    <row r="5">
      <c r="A5" s="6" t="s">
        <v>43</v>
      </c>
      <c r="B5" s="6" t="s">
        <v>46</v>
      </c>
      <c r="C5" s="6" t="s">
        <v>48</v>
      </c>
      <c r="D5" s="6" t="s">
        <v>22</v>
      </c>
      <c r="E5" s="6" t="s">
        <v>21</v>
      </c>
      <c r="F5" s="6" t="s">
        <v>21</v>
      </c>
    </row>
    <row r="6">
      <c r="A6" s="6" t="s">
        <v>59</v>
      </c>
      <c r="B6" s="6" t="s">
        <v>61</v>
      </c>
      <c r="C6" s="6" t="s">
        <v>63</v>
      </c>
      <c r="D6" s="6" t="s">
        <v>22</v>
      </c>
      <c r="E6" s="6" t="s">
        <v>22</v>
      </c>
      <c r="F6" s="6" t="s">
        <v>22</v>
      </c>
    </row>
    <row r="7">
      <c r="A7" s="6" t="s">
        <v>66</v>
      </c>
      <c r="B7" s="6" t="s">
        <v>67</v>
      </c>
      <c r="C7" s="6" t="s">
        <v>68</v>
      </c>
      <c r="D7" s="6" t="s">
        <v>21</v>
      </c>
      <c r="E7" s="6" t="s">
        <v>22</v>
      </c>
      <c r="F7" s="6" t="s">
        <v>22</v>
      </c>
    </row>
    <row r="8">
      <c r="A8" s="6" t="s">
        <v>13</v>
      </c>
      <c r="B8" s="6" t="s">
        <v>16</v>
      </c>
      <c r="C8" s="6" t="s">
        <v>20</v>
      </c>
      <c r="D8" s="6" t="s">
        <v>22</v>
      </c>
      <c r="E8" s="6" t="s">
        <v>22</v>
      </c>
      <c r="F8" s="6" t="s">
        <v>22</v>
      </c>
    </row>
    <row r="9">
      <c r="A9" s="6" t="s">
        <v>29</v>
      </c>
      <c r="B9" s="6" t="s">
        <v>33</v>
      </c>
      <c r="C9" s="6" t="s">
        <v>36</v>
      </c>
      <c r="D9" s="6" t="s">
        <v>22</v>
      </c>
      <c r="E9" s="6" t="s">
        <v>22</v>
      </c>
      <c r="F9" s="6" t="s">
        <v>22</v>
      </c>
    </row>
    <row r="10">
      <c r="A10" s="6" t="s">
        <v>44</v>
      </c>
      <c r="B10" s="6" t="s">
        <v>50</v>
      </c>
      <c r="C10" s="6" t="s">
        <v>52</v>
      </c>
      <c r="D10" s="6" t="s">
        <v>38</v>
      </c>
      <c r="E10" s="6" t="s">
        <v>21</v>
      </c>
      <c r="F10" s="6" t="s">
        <v>21</v>
      </c>
    </row>
    <row r="11">
      <c r="A11" s="6" t="s">
        <v>57</v>
      </c>
      <c r="B11" s="6" t="s">
        <v>62</v>
      </c>
      <c r="C11" s="6" t="s">
        <v>65</v>
      </c>
      <c r="D11" s="6" t="s">
        <v>22</v>
      </c>
      <c r="E11" s="6" t="s">
        <v>21</v>
      </c>
      <c r="F11" s="6" t="s">
        <v>21</v>
      </c>
    </row>
    <row r="12">
      <c r="A12" s="6" t="s">
        <v>69</v>
      </c>
      <c r="B12" s="6" t="s">
        <v>70</v>
      </c>
      <c r="C12" s="6" t="s">
        <v>36</v>
      </c>
      <c r="D12" s="6" t="s">
        <v>22</v>
      </c>
      <c r="E12" s="6" t="s">
        <v>21</v>
      </c>
      <c r="F12" s="6" t="s">
        <v>21</v>
      </c>
    </row>
    <row r="13">
      <c r="A13" s="6" t="s">
        <v>71</v>
      </c>
      <c r="B13" s="6" t="s">
        <v>72</v>
      </c>
      <c r="C13" s="6" t="s">
        <v>73</v>
      </c>
      <c r="D13" s="6" t="s">
        <v>38</v>
      </c>
      <c r="E13" s="6" t="s">
        <v>21</v>
      </c>
      <c r="F13" s="6" t="s">
        <v>21</v>
      </c>
    </row>
    <row r="14">
      <c r="A14" s="6" t="s">
        <v>74</v>
      </c>
      <c r="B14" s="6" t="s">
        <v>75</v>
      </c>
      <c r="C14" s="6" t="s">
        <v>76</v>
      </c>
      <c r="D14" s="6" t="s">
        <v>22</v>
      </c>
      <c r="E14" s="6" t="s">
        <v>22</v>
      </c>
      <c r="F14" s="6" t="s">
        <v>22</v>
      </c>
    </row>
    <row r="15">
      <c r="A15" s="6" t="s">
        <v>77</v>
      </c>
      <c r="B15" s="6" t="s">
        <v>78</v>
      </c>
      <c r="C15" s="6" t="s">
        <v>79</v>
      </c>
      <c r="D15" s="6" t="s">
        <v>22</v>
      </c>
      <c r="E15" s="6" t="s">
        <v>21</v>
      </c>
      <c r="F15" s="6" t="s">
        <v>21</v>
      </c>
    </row>
    <row r="16">
      <c r="A16" s="6" t="s">
        <v>80</v>
      </c>
      <c r="B16" s="6" t="s">
        <v>81</v>
      </c>
      <c r="C16" s="6" t="s">
        <v>82</v>
      </c>
      <c r="D16" s="6" t="s">
        <v>38</v>
      </c>
      <c r="E16" s="6" t="s">
        <v>21</v>
      </c>
      <c r="F16" s="6" t="s">
        <v>21</v>
      </c>
    </row>
    <row r="17">
      <c r="A17" s="6" t="s">
        <v>84</v>
      </c>
      <c r="B17" s="6" t="s">
        <v>85</v>
      </c>
      <c r="C17" s="6" t="s">
        <v>86</v>
      </c>
      <c r="D17" s="6" t="s">
        <v>22</v>
      </c>
      <c r="E17" s="6" t="s">
        <v>22</v>
      </c>
      <c r="F17" s="6" t="s">
        <v>22</v>
      </c>
    </row>
    <row r="18">
      <c r="A18" s="6" t="s">
        <v>89</v>
      </c>
      <c r="B18" s="6" t="s">
        <v>91</v>
      </c>
      <c r="C18" s="6" t="s">
        <v>92</v>
      </c>
      <c r="D18" s="6" t="s">
        <v>22</v>
      </c>
      <c r="E18" s="6" t="s">
        <v>21</v>
      </c>
      <c r="F18" s="6" t="s">
        <v>21</v>
      </c>
    </row>
    <row r="19">
      <c r="A19" s="6" t="s">
        <v>93</v>
      </c>
      <c r="B19" s="6" t="s">
        <v>94</v>
      </c>
      <c r="C19" s="6" t="s">
        <v>95</v>
      </c>
      <c r="D19" s="6" t="s">
        <v>19</v>
      </c>
      <c r="E19" s="6" t="s">
        <v>21</v>
      </c>
      <c r="F19" s="6" t="s">
        <v>21</v>
      </c>
    </row>
    <row r="20">
      <c r="A20" s="6" t="s">
        <v>107</v>
      </c>
      <c r="B20" s="6" t="s">
        <v>108</v>
      </c>
      <c r="C20" s="6" t="s">
        <v>109</v>
      </c>
      <c r="D20" s="6" t="s">
        <v>22</v>
      </c>
      <c r="E20" s="6" t="s">
        <v>22</v>
      </c>
      <c r="F20" s="6" t="s">
        <v>22</v>
      </c>
    </row>
    <row r="21">
      <c r="A21" s="6" t="s">
        <v>110</v>
      </c>
      <c r="B21" s="6" t="s">
        <v>111</v>
      </c>
      <c r="C21" s="6" t="s">
        <v>112</v>
      </c>
      <c r="D21" s="6" t="s">
        <v>22</v>
      </c>
      <c r="E21" s="6" t="s">
        <v>21</v>
      </c>
      <c r="F21" s="6" t="s">
        <v>21</v>
      </c>
    </row>
    <row r="22">
      <c r="A22" s="6" t="s">
        <v>113</v>
      </c>
      <c r="B22" s="6" t="s">
        <v>114</v>
      </c>
      <c r="C22" s="6" t="s">
        <v>115</v>
      </c>
      <c r="D22" s="6" t="s">
        <v>22</v>
      </c>
      <c r="E22" s="6" t="s">
        <v>21</v>
      </c>
      <c r="F22" s="6" t="s">
        <v>21</v>
      </c>
    </row>
    <row r="23">
      <c r="A23" s="6" t="s">
        <v>116</v>
      </c>
      <c r="B23" s="6" t="s">
        <v>117</v>
      </c>
      <c r="C23" s="6" t="s">
        <v>118</v>
      </c>
      <c r="D23" s="6" t="s">
        <v>22</v>
      </c>
      <c r="E23" s="6" t="s">
        <v>22</v>
      </c>
      <c r="F23" s="6" t="s">
        <v>22</v>
      </c>
    </row>
    <row r="24">
      <c r="A24" s="6" t="s">
        <v>119</v>
      </c>
      <c r="B24" s="6" t="s">
        <v>120</v>
      </c>
      <c r="C24" s="6" t="s">
        <v>121</v>
      </c>
      <c r="D24" s="6" t="s">
        <v>22</v>
      </c>
      <c r="E24" s="6" t="s">
        <v>22</v>
      </c>
      <c r="F24" s="6" t="s">
        <v>22</v>
      </c>
    </row>
    <row r="25">
      <c r="A25" s="6" t="s">
        <v>122</v>
      </c>
      <c r="B25" s="6" t="s">
        <v>123</v>
      </c>
      <c r="C25" s="6" t="s">
        <v>124</v>
      </c>
      <c r="D25" s="6" t="s">
        <v>22</v>
      </c>
      <c r="E25" s="6" t="s">
        <v>21</v>
      </c>
      <c r="F25" s="6" t="s">
        <v>21</v>
      </c>
    </row>
    <row r="26">
      <c r="A26" s="6" t="s">
        <v>125</v>
      </c>
      <c r="B26" s="6" t="s">
        <v>126</v>
      </c>
      <c r="C26" s="6" t="s">
        <v>127</v>
      </c>
      <c r="D26" s="6" t="s">
        <v>38</v>
      </c>
      <c r="E26" s="6" t="s">
        <v>21</v>
      </c>
      <c r="F26" s="6" t="s">
        <v>21</v>
      </c>
    </row>
    <row r="27">
      <c r="A27" s="6" t="s">
        <v>128</v>
      </c>
      <c r="B27" s="6" t="s">
        <v>129</v>
      </c>
      <c r="C27" s="6" t="s">
        <v>130</v>
      </c>
      <c r="D27" s="6" t="s">
        <v>38</v>
      </c>
      <c r="E27" s="6" t="s">
        <v>21</v>
      </c>
      <c r="F27" s="6" t="s">
        <v>21</v>
      </c>
    </row>
    <row r="28">
      <c r="A28" s="6" t="s">
        <v>131</v>
      </c>
      <c r="B28" s="6" t="s">
        <v>132</v>
      </c>
      <c r="C28" s="6" t="s">
        <v>133</v>
      </c>
      <c r="D28" s="6" t="s">
        <v>21</v>
      </c>
      <c r="E28" s="6" t="s">
        <v>21</v>
      </c>
      <c r="F28" s="6" t="s">
        <v>21</v>
      </c>
    </row>
    <row r="29">
      <c r="A29" s="6" t="s">
        <v>134</v>
      </c>
      <c r="B29" s="6" t="s">
        <v>135</v>
      </c>
      <c r="C29" s="6" t="s">
        <v>136</v>
      </c>
      <c r="D29" s="6" t="s">
        <v>21</v>
      </c>
      <c r="E29" s="6" t="s">
        <v>21</v>
      </c>
      <c r="F29" s="6" t="s">
        <v>21</v>
      </c>
    </row>
    <row r="30">
      <c r="A30" s="6" t="s">
        <v>137</v>
      </c>
      <c r="B30" s="6" t="s">
        <v>138</v>
      </c>
      <c r="C30" s="6" t="s">
        <v>139</v>
      </c>
      <c r="D30" s="6" t="s">
        <v>22</v>
      </c>
      <c r="E30" s="6" t="s">
        <v>21</v>
      </c>
      <c r="F30" s="6" t="s">
        <v>21</v>
      </c>
    </row>
    <row r="31">
      <c r="A31" s="6" t="s">
        <v>140</v>
      </c>
      <c r="B31" s="6" t="s">
        <v>141</v>
      </c>
      <c r="C31" s="6" t="s">
        <v>142</v>
      </c>
      <c r="D31" s="6" t="s">
        <v>22</v>
      </c>
      <c r="E31" s="6" t="s">
        <v>22</v>
      </c>
      <c r="F31" s="6" t="s">
        <v>22</v>
      </c>
    </row>
    <row r="32">
      <c r="A32" s="6" t="s">
        <v>143</v>
      </c>
      <c r="B32" s="6" t="s">
        <v>144</v>
      </c>
      <c r="C32" s="6" t="s">
        <v>145</v>
      </c>
      <c r="D32" s="6" t="s">
        <v>22</v>
      </c>
      <c r="E32" s="6" t="s">
        <v>22</v>
      </c>
      <c r="F32" s="6" t="s">
        <v>22</v>
      </c>
    </row>
    <row r="33">
      <c r="A33" s="6" t="s">
        <v>146</v>
      </c>
      <c r="B33" s="6" t="s">
        <v>147</v>
      </c>
      <c r="C33" s="6" t="s">
        <v>148</v>
      </c>
      <c r="D33" s="6" t="s">
        <v>22</v>
      </c>
      <c r="E33" s="6" t="s">
        <v>21</v>
      </c>
      <c r="F33" s="6" t="s">
        <v>21</v>
      </c>
    </row>
    <row r="34">
      <c r="A34" s="6" t="s">
        <v>149</v>
      </c>
      <c r="B34" s="6" t="s">
        <v>150</v>
      </c>
      <c r="C34" s="6" t="s">
        <v>151</v>
      </c>
      <c r="D34" s="6" t="s">
        <v>22</v>
      </c>
      <c r="E34" s="6" t="s">
        <v>22</v>
      </c>
      <c r="F34" s="6" t="s">
        <v>22</v>
      </c>
    </row>
    <row r="35">
      <c r="A35" s="6" t="s">
        <v>152</v>
      </c>
      <c r="B35" s="6" t="s">
        <v>153</v>
      </c>
      <c r="C35" s="6" t="s">
        <v>154</v>
      </c>
      <c r="D35" s="6" t="s">
        <v>22</v>
      </c>
      <c r="E35" s="6" t="s">
        <v>22</v>
      </c>
      <c r="F35" s="6" t="s">
        <v>22</v>
      </c>
    </row>
    <row r="36">
      <c r="A36" s="6" t="s">
        <v>155</v>
      </c>
      <c r="B36" s="6" t="s">
        <v>156</v>
      </c>
      <c r="C36" s="6" t="s">
        <v>157</v>
      </c>
      <c r="D36" s="6" t="s">
        <v>22</v>
      </c>
      <c r="E36" s="6" t="s">
        <v>22</v>
      </c>
      <c r="F36" s="6" t="s">
        <v>22</v>
      </c>
    </row>
    <row r="37">
      <c r="A37" s="6" t="s">
        <v>158</v>
      </c>
      <c r="B37" s="6" t="s">
        <v>159</v>
      </c>
      <c r="C37" s="6" t="s">
        <v>160</v>
      </c>
      <c r="D37" s="6" t="s">
        <v>22</v>
      </c>
      <c r="E37" s="6" t="s">
        <v>22</v>
      </c>
      <c r="F37" s="6" t="s">
        <v>22</v>
      </c>
    </row>
    <row r="38">
      <c r="A38" s="6" t="s">
        <v>161</v>
      </c>
      <c r="B38" s="6" t="s">
        <v>162</v>
      </c>
      <c r="C38" s="6" t="s">
        <v>163</v>
      </c>
      <c r="D38" s="6" t="s">
        <v>22</v>
      </c>
      <c r="E38" s="6" t="s">
        <v>19</v>
      </c>
      <c r="F38" s="6" t="s">
        <v>19</v>
      </c>
    </row>
    <row r="39">
      <c r="A39" s="6" t="s">
        <v>164</v>
      </c>
      <c r="B39" s="6" t="s">
        <v>165</v>
      </c>
      <c r="C39" s="6" t="s">
        <v>166</v>
      </c>
      <c r="D39" s="6" t="s">
        <v>22</v>
      </c>
      <c r="E39" s="6" t="s">
        <v>22</v>
      </c>
      <c r="F39" s="6" t="s">
        <v>22</v>
      </c>
    </row>
    <row r="40">
      <c r="A40" s="6" t="s">
        <v>167</v>
      </c>
      <c r="B40" s="6" t="s">
        <v>168</v>
      </c>
      <c r="C40" s="6" t="s">
        <v>169</v>
      </c>
      <c r="D40" s="6" t="s">
        <v>19</v>
      </c>
      <c r="E40" s="6" t="s">
        <v>22</v>
      </c>
      <c r="F40" s="6" t="s">
        <v>19</v>
      </c>
    </row>
    <row r="41">
      <c r="A41" s="6" t="s">
        <v>170</v>
      </c>
      <c r="B41" s="6" t="s">
        <v>171</v>
      </c>
      <c r="C41" s="6" t="s">
        <v>172</v>
      </c>
      <c r="D41" s="6" t="s">
        <v>22</v>
      </c>
      <c r="E41" s="6" t="s">
        <v>22</v>
      </c>
      <c r="F41" s="6" t="s">
        <v>22</v>
      </c>
    </row>
    <row r="42">
      <c r="A42" s="6" t="s">
        <v>173</v>
      </c>
      <c r="B42" s="6" t="s">
        <v>174</v>
      </c>
      <c r="C42" s="6" t="s">
        <v>175</v>
      </c>
      <c r="D42" s="6" t="s">
        <v>19</v>
      </c>
      <c r="E42" s="6" t="s">
        <v>22</v>
      </c>
      <c r="F42" s="6" t="s">
        <v>19</v>
      </c>
    </row>
    <row r="43">
      <c r="A43" s="6" t="s">
        <v>176</v>
      </c>
      <c r="B43" s="6" t="s">
        <v>177</v>
      </c>
      <c r="C43" s="6" t="s">
        <v>178</v>
      </c>
      <c r="D43" s="6" t="s">
        <v>22</v>
      </c>
      <c r="E43" s="6" t="s">
        <v>22</v>
      </c>
      <c r="F43" s="6" t="s">
        <v>22</v>
      </c>
    </row>
    <row r="44">
      <c r="A44" s="6" t="s">
        <v>179</v>
      </c>
      <c r="B44" s="6" t="s">
        <v>180</v>
      </c>
      <c r="C44" s="6" t="s">
        <v>181</v>
      </c>
      <c r="D44" s="6" t="s">
        <v>19</v>
      </c>
      <c r="E44" s="6" t="s">
        <v>21</v>
      </c>
      <c r="F44" s="6" t="s">
        <v>22</v>
      </c>
    </row>
    <row r="45">
      <c r="A45" s="6" t="s">
        <v>182</v>
      </c>
      <c r="B45" s="6" t="s">
        <v>183</v>
      </c>
      <c r="C45" s="6" t="s">
        <v>184</v>
      </c>
      <c r="D45" s="6" t="s">
        <v>38</v>
      </c>
      <c r="E45" s="6" t="s">
        <v>21</v>
      </c>
      <c r="F45" s="6" t="s">
        <v>21</v>
      </c>
    </row>
    <row r="46">
      <c r="A46" s="6" t="s">
        <v>185</v>
      </c>
      <c r="B46" s="6" t="s">
        <v>186</v>
      </c>
      <c r="C46" s="6" t="s">
        <v>187</v>
      </c>
      <c r="D46" s="6" t="s">
        <v>22</v>
      </c>
      <c r="E46" s="6" t="s">
        <v>21</v>
      </c>
      <c r="F46" s="6" t="s">
        <v>21</v>
      </c>
    </row>
    <row r="47">
      <c r="A47" s="6" t="s">
        <v>188</v>
      </c>
      <c r="B47" s="6" t="s">
        <v>189</v>
      </c>
      <c r="C47" s="6" t="s">
        <v>190</v>
      </c>
      <c r="D47" s="6" t="s">
        <v>22</v>
      </c>
      <c r="E47" s="6" t="s">
        <v>21</v>
      </c>
      <c r="F47" s="6" t="s">
        <v>21</v>
      </c>
    </row>
    <row r="48">
      <c r="A48" s="6" t="s">
        <v>191</v>
      </c>
      <c r="B48" s="6" t="s">
        <v>75</v>
      </c>
      <c r="C48" s="6" t="s">
        <v>192</v>
      </c>
      <c r="D48" s="6" t="s">
        <v>22</v>
      </c>
      <c r="E48" s="6" t="s">
        <v>22</v>
      </c>
      <c r="F48" s="6" t="s">
        <v>22</v>
      </c>
    </row>
    <row r="49">
      <c r="A49" s="6" t="s">
        <v>193</v>
      </c>
      <c r="B49" s="6" t="s">
        <v>194</v>
      </c>
      <c r="C49" s="6" t="s">
        <v>195</v>
      </c>
      <c r="D49" s="6" t="s">
        <v>22</v>
      </c>
      <c r="E49" s="6" t="s">
        <v>21</v>
      </c>
      <c r="F49" s="6" t="s">
        <v>21</v>
      </c>
    </row>
    <row r="50">
      <c r="A50" s="6" t="s">
        <v>196</v>
      </c>
      <c r="B50" s="6" t="s">
        <v>197</v>
      </c>
      <c r="C50" s="6" t="s">
        <v>198</v>
      </c>
      <c r="D50" s="6" t="s">
        <v>22</v>
      </c>
      <c r="E50" s="6" t="s">
        <v>22</v>
      </c>
      <c r="F50" s="6" t="s">
        <v>22</v>
      </c>
    </row>
    <row r="51">
      <c r="A51" s="6" t="s">
        <v>199</v>
      </c>
      <c r="B51" s="6" t="s">
        <v>200</v>
      </c>
      <c r="C51" s="6" t="s">
        <v>201</v>
      </c>
      <c r="D51" s="6" t="s">
        <v>22</v>
      </c>
      <c r="E51" s="6" t="s">
        <v>21</v>
      </c>
      <c r="F51" s="6" t="s">
        <v>21</v>
      </c>
    </row>
    <row r="52">
      <c r="A52" s="6" t="s">
        <v>202</v>
      </c>
      <c r="B52" s="6" t="s">
        <v>203</v>
      </c>
      <c r="C52" s="6" t="s">
        <v>204</v>
      </c>
      <c r="D52" s="6" t="s">
        <v>22</v>
      </c>
      <c r="E52" s="6" t="s">
        <v>21</v>
      </c>
      <c r="F52" s="6" t="s">
        <v>21</v>
      </c>
    </row>
    <row r="53">
      <c r="A53" s="6" t="s">
        <v>205</v>
      </c>
      <c r="B53" s="6" t="s">
        <v>206</v>
      </c>
      <c r="C53" s="6" t="s">
        <v>207</v>
      </c>
      <c r="D53" s="6" t="s">
        <v>22</v>
      </c>
      <c r="E53" s="6" t="s">
        <v>21</v>
      </c>
      <c r="F53" s="6" t="s">
        <v>21</v>
      </c>
    </row>
    <row r="54">
      <c r="A54" s="6" t="s">
        <v>208</v>
      </c>
      <c r="B54" s="6" t="s">
        <v>209</v>
      </c>
      <c r="C54" s="6" t="s">
        <v>210</v>
      </c>
      <c r="D54" s="6" t="s">
        <v>22</v>
      </c>
      <c r="E54" s="6" t="s">
        <v>22</v>
      </c>
      <c r="F54" s="6" t="s">
        <v>22</v>
      </c>
    </row>
    <row r="55">
      <c r="A55" s="6" t="s">
        <v>211</v>
      </c>
      <c r="B55" s="6" t="s">
        <v>212</v>
      </c>
      <c r="C55" s="6" t="s">
        <v>213</v>
      </c>
      <c r="D55" s="6" t="s">
        <v>22</v>
      </c>
      <c r="E55" s="6" t="s">
        <v>21</v>
      </c>
      <c r="F55" s="6" t="s">
        <v>21</v>
      </c>
    </row>
    <row r="56">
      <c r="A56" s="6" t="s">
        <v>214</v>
      </c>
      <c r="B56" s="6" t="s">
        <v>215</v>
      </c>
      <c r="C56" s="6" t="s">
        <v>216</v>
      </c>
      <c r="D56" s="6" t="s">
        <v>22</v>
      </c>
      <c r="E56" s="6" t="s">
        <v>21</v>
      </c>
      <c r="F56" s="6" t="s">
        <v>21</v>
      </c>
    </row>
    <row r="57">
      <c r="A57" s="6" t="s">
        <v>217</v>
      </c>
      <c r="B57" s="6" t="s">
        <v>218</v>
      </c>
      <c r="C57" s="6" t="s">
        <v>219</v>
      </c>
      <c r="D57" s="6" t="s">
        <v>22</v>
      </c>
      <c r="E57" s="6" t="s">
        <v>21</v>
      </c>
      <c r="F57" s="6" t="s">
        <v>21</v>
      </c>
    </row>
    <row r="58">
      <c r="A58" s="6" t="s">
        <v>220</v>
      </c>
      <c r="B58" s="6" t="s">
        <v>221</v>
      </c>
      <c r="C58" s="6" t="s">
        <v>222</v>
      </c>
      <c r="D58" s="6" t="s">
        <v>38</v>
      </c>
      <c r="E58" s="6" t="s">
        <v>21</v>
      </c>
      <c r="F58" s="6" t="s">
        <v>21</v>
      </c>
    </row>
    <row r="59">
      <c r="A59" s="6" t="s">
        <v>223</v>
      </c>
      <c r="B59" s="6" t="s">
        <v>224</v>
      </c>
      <c r="C59" s="6" t="s">
        <v>225</v>
      </c>
      <c r="D59" s="6" t="s">
        <v>21</v>
      </c>
      <c r="E59" s="6" t="s">
        <v>21</v>
      </c>
      <c r="F59" s="6" t="s">
        <v>21</v>
      </c>
    </row>
    <row r="60">
      <c r="A60" s="6" t="s">
        <v>226</v>
      </c>
      <c r="B60" s="6" t="s">
        <v>227</v>
      </c>
      <c r="C60" s="6" t="s">
        <v>228</v>
      </c>
      <c r="D60" s="6" t="s">
        <v>22</v>
      </c>
      <c r="E60" s="6" t="s">
        <v>21</v>
      </c>
      <c r="F60" s="6" t="s">
        <v>21</v>
      </c>
    </row>
    <row r="61">
      <c r="A61" s="6" t="s">
        <v>229</v>
      </c>
      <c r="B61" s="6" t="s">
        <v>230</v>
      </c>
      <c r="C61" s="6" t="s">
        <v>231</v>
      </c>
      <c r="D61" s="6" t="s">
        <v>21</v>
      </c>
      <c r="E61" s="6" t="s">
        <v>22</v>
      </c>
      <c r="F61" s="6" t="s">
        <v>21</v>
      </c>
    </row>
    <row r="62">
      <c r="A62" s="6" t="s">
        <v>232</v>
      </c>
      <c r="B62" s="6" t="s">
        <v>233</v>
      </c>
      <c r="C62" s="6" t="s">
        <v>234</v>
      </c>
      <c r="D62" s="6" t="s">
        <v>22</v>
      </c>
      <c r="E62" s="6" t="s">
        <v>21</v>
      </c>
      <c r="F62" s="6" t="s">
        <v>21</v>
      </c>
    </row>
    <row r="63">
      <c r="A63" s="6" t="s">
        <v>235</v>
      </c>
      <c r="B63" s="6" t="s">
        <v>236</v>
      </c>
      <c r="C63" s="6" t="s">
        <v>237</v>
      </c>
      <c r="D63" s="6" t="s">
        <v>22</v>
      </c>
      <c r="E63" s="6" t="s">
        <v>22</v>
      </c>
      <c r="F63" s="6" t="s">
        <v>22</v>
      </c>
    </row>
  </sheetData>
  <drawing r:id="rId1"/>
</worksheet>
</file>